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a2cddb89164d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1097e7f45e9f480a"/>
    <x:sheet xmlns:r="http://schemas.openxmlformats.org/officeDocument/2006/relationships" name="Employees" sheetId="2" r:id="R672ec4045a814337"/>
    <x:sheet xmlns:r="http://schemas.openxmlformats.org/officeDocument/2006/relationships" name="Current" sheetId="3" r:id="Rb0dd7c9d260047a5"/>
    <x:sheet xmlns:r="http://schemas.openxmlformats.org/officeDocument/2006/relationships" name="Future" sheetId="4" r:id="R30666b35638948db"/>
    <x:sheet xmlns:r="http://schemas.openxmlformats.org/officeDocument/2006/relationships" name="Role Settings" sheetId="5" r:id="R9f02e31d17354b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6"/>
      <x:color rgb="FF172033"/>
      <x:name val="Aptos"/>
    </x:font>
    <x:font>
      <x:sz val="10"/>
      <x:color rgb="FF172033"/>
      <x:name val="Aptos"/>
    </x:font>
    <x:font>
      <x:b/>
      <x:sz val="10"/>
      <x:color rgb="FFFFFFFF"/>
      <x:name val="Aptos"/>
    </x:font>
    <x:font>
      <x:b/>
      <x:sz val="10"/>
      <x:color rgb="FF172033"/>
      <x:name val="Aptos"/>
    </x:font>
    <x:font>
      <x:sz val="10"/>
      <x:color rgb="FFFFFFFF"/>
      <x:name val="Aptos"/>
    </x:font>
  </x:fonts>
  <x:fills count="19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60497A"/>
      </x:patternFill>
    </x:fill>
    <x:fill>
      <x:patternFill patternType="solid">
        <x:fgColor rgb="FF7F7F7F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BF9000"/>
      </x:patternFill>
    </x:fill>
    <x:fill>
      <x:patternFill patternType="solid">
        <x:fgColor rgb="FF2F5597"/>
      </x:patternFill>
    </x:fill>
    <x:fill>
      <x:patternFill patternType="solid">
        <x:fgColor rgb="FF70AD47"/>
      </x:patternFill>
    </x:fill>
    <x:fill>
      <x:patternFill patternType="solid">
        <x:fgColor rgb="FFED7D31"/>
      </x:patternFill>
    </x:fill>
    <x:fill>
      <x:patternFill patternType="solid">
        <x:fgColor rgb="FFA5A5A5"/>
      </x:patternFill>
    </x:fill>
    <x:fill>
      <x:patternFill patternType="solid">
        <x:fgColor rgb="FF5B7FA3"/>
      </x:patternFill>
    </x:fill>
    <x:fill>
      <x:patternFill patternType="solid">
        <x:fgColor rgb="FF548235"/>
      </x:patternFill>
    </x:fill>
    <x:fill>
      <x:patternFill patternType="solid">
        <x:fgColor rgb="FF7F7F7F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8">
    <x:border/>
    <x:border>
      <x:bottom style="medium">
        <x:color rgb="FF203864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bottom style="thin">
        <x:color rgb="FFE7EAF0"/>
      </x:bottom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10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2" fillId="0" borderId="4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3" fillId="2" borderId="5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5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5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3" fillId="3" borderId="5" xfId="0" applyNumberFormat="1" applyFont="1" applyFill="1" applyBorder="1"/>
    <x:xf numFmtId="0" fontId="3" fillId="3" borderId="3" xfId="0" applyNumberFormat="1" applyFont="1" applyFill="1" applyBorder="1"/>
    <x:xf numFmtId="0" fontId="3" fillId="3" borderId="2" xfId="0" applyNumberFormat="1" applyFont="1" applyFill="1" applyBorder="1" applyAlignment="1">
      <x:alignment horizontal="center"/>
    </x:xf>
    <x:xf numFmtId="0" fontId="3" fillId="3" borderId="5" xfId="0" applyNumberFormat="1" applyFont="1" applyFill="1" applyBorder="1" applyAlignment="1">
      <x:alignment horizontal="center"/>
    </x:xf>
    <x:xf numFmtId="0" fontId="3" fillId="3" borderId="3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3" fillId="3" borderId="5" xfId="0" applyNumberFormat="1" applyFont="1" applyFill="1" applyBorder="1" applyAlignment="1">
      <x:alignment horizontal="center" vertical="center"/>
    </x:xf>
    <x:xf numFmtId="0" fontId="3" fillId="3" borderId="3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/>
    <x:xf numFmtId="0" fontId="2" fillId="6" borderId="0" xfId="0" applyNumberFormat="1" applyFont="1" applyFill="1" applyBorder="1"/>
    <x:xf numFmtId="200" fontId="2" fillId="5" borderId="0" xfId="0" applyNumberFormat="1" applyFont="1" applyFill="1" applyBorder="1"/>
    <x:xf numFmtId="20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2" xfId="0" applyNumberFormat="1" applyFont="1" applyFill="1" applyBorder="1"/>
    <x:xf numFmtId="0" fontId="3" fillId="7" borderId="5" xfId="0" applyNumberFormat="1" applyFont="1" applyFill="1" applyBorder="1"/>
    <x:xf numFmtId="0" fontId="3" fillId="7" borderId="3" xfId="0" applyNumberFormat="1" applyFont="1" applyFill="1" applyBorder="1"/>
    <x:xf numFmtId="0" fontId="3" fillId="7" borderId="2" xfId="0" applyNumberFormat="1" applyFont="1" applyFill="1" applyBorder="1" applyAlignment="1">
      <x:alignment horizontal="center"/>
    </x:xf>
    <x:xf numFmtId="0" fontId="3" fillId="7" borderId="5" xfId="0" applyNumberFormat="1" applyFont="1" applyFill="1" applyBorder="1" applyAlignment="1">
      <x:alignment horizontal="center"/>
    </x:xf>
    <x:xf numFmtId="0" fontId="3" fillId="7" borderId="3" xfId="0" applyNumberFormat="1" applyFont="1" applyFill="1" applyBorder="1" applyAlignment="1">
      <x:alignment horizontal="center"/>
    </x:xf>
    <x:xf numFmtId="0" fontId="3" fillId="7" borderId="2" xfId="0" applyNumberFormat="1" applyFont="1" applyFill="1" applyBorder="1" applyAlignment="1">
      <x:alignment horizontal="center" vertical="center"/>
    </x:xf>
    <x:xf numFmtId="0" fontId="3" fillId="7" borderId="5" xfId="0" applyNumberFormat="1" applyFont="1" applyFill="1" applyBorder="1" applyAlignment="1">
      <x:alignment horizontal="center" vertical="center"/>
    </x:xf>
    <x:xf numFmtId="0" fontId="3" fillId="7" borderId="3" xfId="0" applyNumberFormat="1" applyFont="1" applyFill="1" applyBorder="1" applyAlignment="1">
      <x:alignment horizontal="center" vertical="center"/>
    </x:xf>
    <x:xf numFmtId="0" fontId="2" fillId="8" borderId="0" xfId="0" applyNumberFormat="1" applyFont="1" applyFill="1" applyBorder="1"/>
    <x:xf numFmtId="0" fontId="2" fillId="9" borderId="0" xfId="0" applyNumberFormat="1" applyFont="1" applyFill="1" applyBorder="1"/>
    <x:xf numFmtId="0" fontId="2" fillId="10" borderId="0" xfId="0" applyNumberFormat="1" applyFont="1" applyFill="1" applyBorder="1"/>
    <x:xf numFmtId="0" fontId="2" fillId="11" borderId="0" xfId="0" applyNumberFormat="1" applyFont="1" applyFill="1" applyBorder="1"/>
    <x:xf numFmtId="0" fontId="2" fillId="12" borderId="0" xfId="0" applyNumberFormat="1" applyFont="1" applyFill="1" applyBorder="1"/>
    <x:xf numFmtId="0" fontId="5" fillId="8" borderId="0" xfId="0" applyNumberFormat="1" applyFont="1" applyFill="1" applyBorder="1"/>
    <x:xf numFmtId="0" fontId="5" fillId="9" borderId="0" xfId="0" applyNumberFormat="1" applyFont="1" applyFill="1" applyBorder="1"/>
    <x:xf numFmtId="0" fontId="5" fillId="10" borderId="0" xfId="0" applyNumberFormat="1" applyFont="1" applyFill="1" applyBorder="1"/>
    <x:xf numFmtId="0" fontId="5" fillId="11" borderId="0" xfId="0" applyNumberFormat="1" applyFont="1" applyFill="1" applyBorder="1"/>
    <x:xf numFmtId="0" fontId="5" fillId="12" borderId="0" xfId="0" applyNumberFormat="1" applyFont="1" applyFill="1" applyBorder="1"/>
    <x:xf numFmtId="0" fontId="5" fillId="0" borderId="0" xfId="0" applyNumberFormat="1" applyFont="1" applyFill="1" applyBorder="1"/>
    <x:xf numFmtId="0" fontId="3" fillId="2" borderId="5" xfId="0" applyNumberFormat="1" applyFont="1" applyFill="1" applyBorder="1" applyAlignment="1">
      <x:alignment horizontal="center"/>
    </x:xf>
    <x:xf numFmtId="0" fontId="3" fillId="2" borderId="5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2" xfId="0" applyNumberFormat="1" applyFont="1" applyFill="1" applyBorder="1"/>
    <x:xf numFmtId="0" fontId="3" fillId="13" borderId="5" xfId="0" applyNumberFormat="1" applyFont="1" applyFill="1" applyBorder="1"/>
    <x:xf numFmtId="0" fontId="3" fillId="13" borderId="3" xfId="0" applyNumberFormat="1" applyFont="1" applyFill="1" applyBorder="1"/>
    <x:xf numFmtId="0" fontId="3" fillId="13" borderId="2" xfId="0" applyNumberFormat="1" applyFont="1" applyFill="1" applyBorder="1" applyAlignment="1">
      <x:alignment horizontal="center"/>
    </x:xf>
    <x:xf numFmtId="0" fontId="3" fillId="13" borderId="5" xfId="0" applyNumberFormat="1" applyFont="1" applyFill="1" applyBorder="1" applyAlignment="1">
      <x:alignment horizontal="center"/>
    </x:xf>
    <x:xf numFmtId="0" fontId="3" fillId="13" borderId="3" xfId="0" applyNumberFormat="1" applyFont="1" applyFill="1" applyBorder="1" applyAlignment="1">
      <x:alignment horizontal="center"/>
    </x:xf>
    <x:xf numFmtId="0" fontId="3" fillId="13" borderId="2" xfId="0" applyNumberFormat="1" applyFont="1" applyFill="1" applyBorder="1" applyAlignment="1">
      <x:alignment horizontal="center" vertical="center"/>
    </x:xf>
    <x:xf numFmtId="0" fontId="3" fillId="13" borderId="5" xfId="0" applyNumberFormat="1" applyFont="1" applyFill="1" applyBorder="1" applyAlignment="1">
      <x:alignment horizontal="center" vertical="center"/>
    </x:xf>
    <x:xf numFmtId="0" fontId="3" fillId="13" borderId="3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horizontal="center"/>
    </x:xf>
    <x:xf numFmtId="0" fontId="3" fillId="14" borderId="0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horizontal="center" vertical="center"/>
    </x:xf>
    <x:xf numFmtId="200" fontId="2" fillId="16" borderId="0" xfId="0" applyNumberFormat="1" applyFont="1" applyFill="1" applyBorder="1" applyAlignment="1">
      <x:alignment horizontal="center"/>
    </x:xf>
    <x:xf numFmtId="200" fontId="2" fillId="16" borderId="0" xfId="0" applyNumberFormat="1" applyFont="1" applyFill="1" applyBorder="1" applyAlignment="1">
      <x:alignment horizontal="left"/>
    </x:xf>
    <x:xf numFmtId="0" fontId="2" fillId="15" borderId="0" xfId="0" applyNumberFormat="1" applyFont="1" applyFill="1" applyBorder="1" applyAlignment="1">
      <x:alignment horizontal="center"/>
    </x:xf>
    <x:xf numFmtId="200" fontId="2" fillId="15" borderId="0" xfId="0" applyNumberFormat="1" applyFont="1" applyFill="1" applyBorder="1" applyAlignment="1">
      <x:alignment horizontal="center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6" xfId="0" applyNumberFormat="1" applyFont="1" applyFill="1" applyBorder="1"/>
    <x:xf numFmtId="0" fontId="3" fillId="17" borderId="7" xfId="0" applyNumberFormat="1" applyFont="1" applyFill="1" applyBorder="1"/>
    <x:xf numFmtId="0" fontId="3" fillId="17" borderId="6" xfId="0" applyNumberFormat="1" applyFont="1" applyFill="1" applyBorder="1" applyAlignment="1">
      <x:alignment horizontal="center"/>
    </x:xf>
    <x:xf numFmtId="0" fontId="3" fillId="17" borderId="7" xfId="0" applyNumberFormat="1" applyFont="1" applyFill="1" applyBorder="1" applyAlignment="1">
      <x:alignment horizontal="center"/>
    </x:xf>
    <x:xf numFmtId="0" fontId="3" fillId="17" borderId="6" xfId="0" applyNumberFormat="1" applyFont="1" applyFill="1" applyBorder="1" applyAlignment="1">
      <x:alignment horizontal="center" vertical="center"/>
    </x:xf>
    <x:xf numFmtId="0" fontId="3" fillId="17" borderId="7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2" fillId="18" borderId="0" xfId="0" applyNumberFormat="1" applyFont="1" applyFill="1" applyBorder="1" applyAlignment="1">
      <x:alignment vertical="center"/>
    </x:xf>
    <x:xf numFmtId="0" fontId="2" fillId="1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B3261E"/>
      </x:font>
      <x:fill>
        <x:patternFill>
          <x:bgColor rgb="FFFCE8E6"/>
        </x:patternFill>
      </x:fill>
    </x:dxf>
    <x:dxf>
      <x:font>
        <x:b/>
        <x:color rgb="FFB3261E"/>
      </x:font>
      <x:fill>
        <x:patternFill>
          <x:bgColor rgb="FFFCE8E6"/>
        </x:patternFill>
      </x:fill>
    </x:dxf>
    <x:dxf>
      <x:font>
        <x:b/>
        <x:color rgb="FFB3261E"/>
      </x:font>
      <x:fill>
        <x:patternFill>
          <x:bgColor rgb="FFFCE8E6"/>
        </x:patternFill>
      </x:fill>
    </x:dxf>
    <x:dxf>
      <x:font>
        <x:b/>
        <x:color rgb="FFB3261E"/>
      </x:font>
      <x:fill>
        <x:patternFill>
          <x:bgColor rgb="FFFCE8E6"/>
        </x:patternFill>
      </x:fill>
    </x:dxf>
    <x:dxf>
      <x:font>
        <x:b/>
        <x:color rgb="FFB3261E"/>
      </x:font>
      <x:fill>
        <x:patternFill>
          <x:bgColor rgb="FFFCE8E6"/>
        </x:patternFill>
      </x:fill>
    </x:dxf>
    <x:dxf>
      <x:font>
        <x:b/>
        <x:color rgb="FFB3261E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448b6293cb4cab" /><Relationship Type="http://schemas.openxmlformats.org/officeDocument/2006/relationships/theme" Target="/xl/theme/theme1.xml" Id="Rb69472ca17124105" /><Relationship Type="http://schemas.openxmlformats.org/officeDocument/2006/relationships/sharedStrings" Target="/xl/sharedStrings.xml" Id="R20990de1e15141d8" /><Relationship Type="http://schemas.openxmlformats.org/officeDocument/2006/relationships/worksheet" Target="/xl/worksheets/sheet1.xml" Id="R1097e7f45e9f480a" /><Relationship Type="http://schemas.openxmlformats.org/officeDocument/2006/relationships/worksheet" Target="/xl/worksheets/sheet2.xml" Id="R672ec4045a814337" /><Relationship Type="http://schemas.openxmlformats.org/officeDocument/2006/relationships/worksheet" Target="/xl/worksheets/sheet3.xml" Id="Rb0dd7c9d260047a5" /><Relationship Type="http://schemas.openxmlformats.org/officeDocument/2006/relationships/worksheet" Target="/xl/worksheets/sheet4.xml" Id="R30666b35638948db" /><Relationship Type="http://schemas.openxmlformats.org/officeDocument/2006/relationships/worksheet" Target="/xl/worksheets/sheet5.xml" Id="R9f02e31d17354bb2" /></Relationships>
</file>

<file path=xl/tables/table1.xml><?xml version="1.0" encoding="utf-8"?>
<x:table xmlns:x="http://schemas.openxmlformats.org/spreadsheetml/2006/main" id="1" name="EmployeesTable" displayName="EmployeesTable" ref="A1:C2" headerRowCount="1" totalsRowCount="0" totalsRowShown="0">
  <x:autoFilter ref="A1:C2"/>
  <x:tableColumns count="3">
    <x:tableColumn id="1" name="Employee ID"/>
    <x:tableColumn id="2" name="Employee Name"/>
    <x:tableColumn id="3" name="Manager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3" name="CurrentOrgTable" displayName="CurrentOrgTable" ref="A1:E2" headerRowCount="1" totalsRowCount="0" totalsRowShown="0">
  <x:autoFilter ref="A1:E2"/>
  <x:tableColumns count="5">
    <x:tableColumn id="1" name="Employee ID"/>
    <x:tableColumn id="2" name="Employee Name"/>
    <x:tableColumn id="3" name="Manager ID"/>
    <x:tableColumn id="4" name="Manager Name"/>
    <x:tableColumn id="5" name="Role Ty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FutureOrgTable" displayName="FutureOrgTable" ref="A1:E2" headerRowCount="1" totalsRowCount="0" totalsRowShown="0">
  <x:autoFilter ref="A1:E2"/>
  <x:tableColumns count="5">
    <x:tableColumn id="1" name="Employee ID"/>
    <x:tableColumn id="2" name="Employee Name"/>
    <x:tableColumn id="3" name="Manager ID"/>
    <x:tableColumn id="4" name="Manager Name"/>
    <x:tableColumn id="5" name="Role Typ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oleSettingsTable" displayName="RoleSettingsTable" ref="A1:C6" headerRowCount="1" totalsRowCount="0" totalsRowShown="0">
  <x:autoFilter ref="A1:C6"/>
  <x:tableColumns count="3">
    <x:tableColumn id="1" name="Role Type"/>
    <x:tableColumn id="2" name="Slide Color"/>
    <x:tableColumn id="3" name="Instructions"/>
  </x:tableColumns>
  <x:tableStyleInfo name="TableStyleMedium1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a49b933ba8748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2722f099a0943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637838402a1461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b8ccf4de74d43f9" /></Relationships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7" hidden="0" customWidth="1"/>
    <x:col min="2" max="2" width="56" hidden="0" customWidth="1"/>
    <x:col min="3" max="3" width="24" hidden="0" customWidth="1"/>
    <x:col min="4" max="4" width="31" hidden="0" customWidth="1"/>
    <x:col min="5" max="5" width="38" hidden="0" customWidth="1"/>
    <x:col min="6" max="6" width="31" hidden="0" customWidth="1"/>
  </x:cols>
  <x:sheetData>
    <x:row r="2" ht="26" customHeight="1">
      <x:c r="A2" s="2" t="str">
        <x:v>Organization chart data template</x:v>
      </x:c>
      <x:c r="B2" s="2"/>
      <x:c r="C2" s="2"/>
      <x:c r="D2" s="2"/>
      <x:c r="E2" s="2"/>
      <x:c r="F2" s="2"/>
    </x:row>
    <x:row r="3">
      <x:c r="A3" s="3"/>
      <x:c r="B3" s="3"/>
      <x:c r="C3" s="3"/>
      <x:c r="D3" s="3"/>
      <x:c r="E3" s="3"/>
      <x:c r="F3" s="3"/>
    </x:row>
    <x:row r="5" ht="24" customHeight="1">
      <x:c r="A5" s="11" t="str">
        <x:v>Step</x:v>
      </x:c>
      <x:c r="B5" s="12" t="str">
        <x:v>What to do</x:v>
      </x:c>
    </x:row>
    <x:row r="6" ht="35" customHeight="1">
      <x:c r="A6" s="13" t="str">
        <x:v>1. Build the employee list</x:v>
      </x:c>
      <x:c r="B6" s="16" t="str">
        <x:v>Enter every person once on Employees. Employee IDs must contain four letters or numbers.</x:v>
      </x:c>
    </x:row>
    <x:row r="7" ht="35" customHeight="1">
      <x:c r="A7" s="13" t="str">
        <x:v>2. Mark managers</x:v>
      </x:c>
      <x:c r="B7" s="16" t="str">
        <x:v>Use the Manager selector. Choose ☑ Yes for anyone who should appear in manager dropdowns.</x:v>
      </x:c>
    </x:row>
    <x:row r="8" ht="35" customHeight="1">
      <x:c r="A8" s="13" t="str">
        <x:v>3. Define roles and colors</x:v>
      </x:c>
      <x:c r="B8" s="16" t="str">
        <x:v>On Role Settings, add each role and recolor its Slide Color cell using Excel's Fill Color control.</x:v>
      </x:c>
    </x:row>
    <x:row r="9" ht="35" customHeight="1">
      <x:c r="A9" s="13" t="str">
        <x:v>4. Complete Current</x:v>
      </x:c>
      <x:c r="B9" s="16" t="str">
        <x:v>Current and Future: select an employee name, or leave it blank and enter a PCN for a vacant position. Employee ID fills automatically.</x:v>
      </x:c>
    </x:row>
    <x:row r="10" ht="35" customHeight="1">
      <x:c r="A10" s="13" t="str">
        <x:v>5. Complete Future</x:v>
      </x:c>
      <x:c r="B10" s="16" t="str">
        <x:v>Choose the manager and role. Add an Explanation when the slide should show a red outline and a hover ScreenTip.</x:v>
      </x:c>
    </x:row>
    <x:row r="11" ht="35" customHeight="1">
      <x:c r="A11" s="13" t="str">
        <x:v>6. Match photos</x:v>
      </x:c>
      <x:c r="B11" s="16" t="str">
        <x:v>Each photo filename must contain the employee's four-character ID, such as A123.jpg.</x:v>
      </x:c>
    </x:row>
    <x:row r="12" ht="35" customHeight="1">
      <x:c r="A12" s="14" t="str">
        <x:v>7. Run the generator</x:v>
      </x:c>
      <x:c r="B12" s="17" t="str">
        <x:v>Update settings.json, then run .\run.ps1 from this folder.</x:v>
      </x:c>
    </x:row>
    <x:row r="15" ht="34" customHeight="1">
      <x:c r="A15" s="25" t="str">
        <x:v>Sheet</x:v>
      </x:c>
      <x:c r="B15" s="26" t="str">
        <x:v>Entered once</x:v>
      </x:c>
      <x:c r="C15" s="26" t="str">
        <x:v>Selected later</x:v>
      </x:c>
      <x:c r="D15" s="26" t="str">
        <x:v>Purpose</x:v>
      </x:c>
      <x:c r="E15" s="26" t="str">
        <x:v>Editable fields</x:v>
      </x:c>
      <x:c r="F15" s="27" t="str">
        <x:v>Automatic fields</x:v>
      </x:c>
    </x:row>
    <x:row r="16" ht="35" customHeight="1">
      <x:c r="A16" s="16" t="str">
        <x:v>Employees</x:v>
      </x:c>
      <x:c r="B16" s="16" t="str">
        <x:v>Employee ID and name</x:v>
      </x:c>
      <x:c r="C16" s="16" t="str">
        <x:v>Employee and manager</x:v>
      </x:c>
      <x:c r="D16" s="16" t="str">
        <x:v>Master employee directory</x:v>
      </x:c>
      <x:c r="E16" s="16" t="str">
        <x:v>ID, name, Manager</x:v>
      </x:c>
      <x:c r="F16" s="16" t="str">
        <x:v>Manager choices</x:v>
      </x:c>
    </x:row>
    <x:row r="17" ht="35" customHeight="1">
      <x:c r="A17" s="16" t="str">
        <x:v>Current</x:v>
      </x:c>
      <x:c r="B17" s="16" t="str"/>
      <x:c r="C17" s="16" t="str">
        <x:v>Employee, manager, role</x:v>
      </x:c>
      <x:c r="D17" s="16" t="str">
        <x:v>Current reporting structure</x:v>
      </x:c>
      <x:c r="E17" s="16" t="str">
        <x:v>Employee ID, Manager ID, Role Type</x:v>
      </x:c>
      <x:c r="F17" s="16" t="str">
        <x:v>Employee and manager names</x:v>
      </x:c>
    </x:row>
    <x:row r="18" ht="35" customHeight="1">
      <x:c r="A18" s="16" t="str">
        <x:v>Future</x:v>
      </x:c>
      <x:c r="B18" s="16" t="str"/>
      <x:c r="C18" s="16" t="str">
        <x:v>Employee, manager, role</x:v>
      </x:c>
      <x:c r="D18" s="16" t="str">
        <x:v>Future reporting structure</x:v>
      </x:c>
      <x:c r="E18" s="16" t="str">
        <x:v>Employee ID, Manager ID, Role Type</x:v>
      </x:c>
      <x:c r="F18" s="16" t="str">
        <x:v>Employee and manager names</x:v>
      </x:c>
    </x:row>
    <x:row r="19" ht="35" customHeight="1">
      <x:c r="A19" s="17" t="str">
        <x:v>Role Settings</x:v>
      </x:c>
      <x:c r="B19" s="17" t="str">
        <x:v>Role and fill color</x:v>
      </x:c>
      <x:c r="C19" s="17" t="str">
        <x:v>Role</x:v>
      </x:c>
      <x:c r="D19" s="17" t="str">
        <x:v>Slide role groups and colors</x:v>
      </x:c>
      <x:c r="E19" s="17" t="str">
        <x:v>Role Type and cell fill</x:v>
      </x:c>
      <x:c r="F19" s="17" t="str"/>
    </x:row>
  </x:sheetData>
  <x:mergeCells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8064A2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34" hidden="0" customWidth="1"/>
    <x:col min="3" max="3" width="18" hidden="0" customWidth="1"/>
    <x:col min="4" max="4" width="3" hidden="0" customWidth="1"/>
    <x:col min="5" max="5" width="29" hidden="0" customWidth="1"/>
    <x:col min="6" max="6" width="4" hidden="0" customWidth="1"/>
    <x:col min="7" max="7" width="35" hidden="0" customWidth="1"/>
    <x:col min="8" max="8" width="25" hidden="0" customWidth="1"/>
  </x:cols>
  <x:sheetData>
    <x:row r="1" ht="26" customHeight="1">
      <x:c r="A1" s="36" t="str">
        <x:v>Employee ID</x:v>
      </x:c>
      <x:c r="B1" s="37" t="str">
        <x:v>Employee Name</x:v>
      </x:c>
      <x:c r="C1" s="38" t="str">
        <x:v>Manager</x:v>
      </x:c>
      <x:c r="D1" s="4"/>
      <x:c r="E1" s="41" t="str">
        <x:v>Manager Choices (automatic)</x:v>
      </x:c>
      <x:c r="F1" s="86" t="str">
        <x:v>Sort Key</x:v>
      </x:c>
      <x:c r="G1" s="86" t="str">
        <x:v>Employee Choices (alphabetical)</x:v>
      </x:c>
      <x:c r="H1" s="86" t="str">
        <x:v>Employee IDs (automatic)</x:v>
      </x:c>
    </x:row>
    <x:row r="2" ht="22" customHeight="1">
      <x:c r="A2" s="45" t="str"/>
      <x:c r="B2" s="42" t="str"/>
      <x:c r="C2" s="46" t="str">
        <x:v>☐ No</x:v>
      </x:c>
      <x:c r="D2" s="4"/>
      <x:c r="E2" s="47" t="str">
        <x:f>IF(C2="☑ Yes",A2,"")</x:f>
      </x:c>
      <x:c r="F2" s="89" t="str">
        <x:f>IF(B2="","",COUNTIF($B$2:$B$500,"&lt;"&amp;B2)+COUNTIF($B$2:B2,B2))</x:f>
      </x:c>
      <x:c r="G2" s="89" t="str">
        <x:f>IFERROR(INDEX($B$2:$B$500,MATCH(ROWS($G$2:G2),$F$2:$F$500,0)),"")</x:f>
      </x:c>
      <x:c r="H2" s="90" t="str">
        <x:f>IFERROR(INDEX($A$2:$A$500,MATCH(G2,$B$2:$B$500,0)),"")</x:f>
      </x:c>
    </x:row>
    <x:row r="3" ht="22" customHeight="1">
      <x:c r="A3" s="45"/>
      <x:c r="B3" s="42"/>
      <x:c r="C3" s="46"/>
      <x:c r="D3" s="4"/>
      <x:c r="E3" s="47" t="str">
        <x:f>IF(C3="☑ Yes",A3,"")</x:f>
      </x:c>
      <x:c r="F3" s="89" t="str">
        <x:f>IF(B3="","",COUNTIF($B$2:$B$500,"&lt;"&amp;B3)+COUNTIF($B$2:B3,B3))</x:f>
      </x:c>
      <x:c r="G3" s="89" t="str">
        <x:f>IFERROR(INDEX($B$2:$B$500,MATCH(ROWS($G$2:G3),$F$2:$F$500,0)),"")</x:f>
      </x:c>
      <x:c r="H3" s="90" t="str">
        <x:f>IFERROR(INDEX($A$2:$A$500,MATCH(G3,$B$2:$B$500,0)),"")</x:f>
      </x:c>
    </x:row>
    <x:row r="4" ht="22" customHeight="1">
      <x:c r="A4" s="45"/>
      <x:c r="B4" s="42"/>
      <x:c r="C4" s="46"/>
      <x:c r="D4" s="4"/>
      <x:c r="E4" s="47" t="str">
        <x:f>IF(C4="☑ Yes",A4,"")</x:f>
      </x:c>
      <x:c r="F4" s="89" t="str">
        <x:f>IF(B4="","",COUNTIF($B$2:$B$500,"&lt;"&amp;B4)+COUNTIF($B$2:B4,B4))</x:f>
      </x:c>
      <x:c r="G4" s="89" t="str">
        <x:f>IFERROR(INDEX($B$2:$B$500,MATCH(ROWS($G$2:G4),$F$2:$F$500,0)),"")</x:f>
      </x:c>
      <x:c r="H4" s="90" t="str">
        <x:f>IFERROR(INDEX($A$2:$A$500,MATCH(G4,$B$2:$B$500,0)),"")</x:f>
      </x:c>
    </x:row>
    <x:row r="5" ht="22" customHeight="1">
      <x:c r="A5" s="45"/>
      <x:c r="B5" s="42"/>
      <x:c r="C5" s="46"/>
      <x:c r="D5" s="4"/>
      <x:c r="E5" s="47" t="str">
        <x:f>IF(C5="☑ Yes",A5,"")</x:f>
      </x:c>
      <x:c r="F5" s="89" t="str">
        <x:f>IF(B5="","",COUNTIF($B$2:$B$500,"&lt;"&amp;B5)+COUNTIF($B$2:B5,B5))</x:f>
      </x:c>
      <x:c r="G5" s="89" t="str">
        <x:f>IFERROR(INDEX($B$2:$B$500,MATCH(ROWS($G$2:G5),$F$2:$F$500,0)),"")</x:f>
      </x:c>
      <x:c r="H5" s="90" t="str">
        <x:f>IFERROR(INDEX($A$2:$A$500,MATCH(G5,$B$2:$B$500,0)),"")</x:f>
      </x:c>
    </x:row>
    <x:row r="6" ht="22" customHeight="1">
      <x:c r="A6" s="45"/>
      <x:c r="B6" s="42"/>
      <x:c r="C6" s="46"/>
      <x:c r="D6" s="4"/>
      <x:c r="E6" s="47" t="str">
        <x:f>IF(C6="☑ Yes",A6,"")</x:f>
      </x:c>
      <x:c r="F6" s="89" t="str">
        <x:f>IF(B6="","",COUNTIF($B$2:$B$500,"&lt;"&amp;B6)+COUNTIF($B$2:B6,B6))</x:f>
      </x:c>
      <x:c r="G6" s="89" t="str">
        <x:f>IFERROR(INDEX($B$2:$B$500,MATCH(ROWS($G$2:G6),$F$2:$F$500,0)),"")</x:f>
      </x:c>
      <x:c r="H6" s="90" t="str">
        <x:f>IFERROR(INDEX($A$2:$A$500,MATCH(G6,$B$2:$B$500,0)),"")</x:f>
      </x:c>
    </x:row>
    <x:row r="7" ht="22" customHeight="1">
      <x:c r="A7" s="45"/>
      <x:c r="B7" s="42"/>
      <x:c r="C7" s="46"/>
      <x:c r="D7" s="4"/>
      <x:c r="E7" s="47" t="str">
        <x:f>IF(C7="☑ Yes",A7,"")</x:f>
      </x:c>
      <x:c r="F7" s="89" t="str">
        <x:f>IF(B7="","",COUNTIF($B$2:$B$500,"&lt;"&amp;B7)+COUNTIF($B$2:B7,B7))</x:f>
      </x:c>
      <x:c r="G7" s="89" t="str">
        <x:f>IFERROR(INDEX($B$2:$B$500,MATCH(ROWS($G$2:G7),$F$2:$F$500,0)),"")</x:f>
      </x:c>
      <x:c r="H7" s="90" t="str">
        <x:f>IFERROR(INDEX($A$2:$A$500,MATCH(G7,$B$2:$B$500,0)),"")</x:f>
      </x:c>
    </x:row>
    <x:row r="8" ht="22" customHeight="1">
      <x:c r="A8" s="45"/>
      <x:c r="B8" s="42"/>
      <x:c r="C8" s="46"/>
      <x:c r="D8" s="4"/>
      <x:c r="E8" s="47" t="str">
        <x:f>IF(C8="☑ Yes",A8,"")</x:f>
      </x:c>
      <x:c r="F8" s="89" t="str">
        <x:f>IF(B8="","",COUNTIF($B$2:$B$500,"&lt;"&amp;B8)+COUNTIF($B$2:B8,B8))</x:f>
      </x:c>
      <x:c r="G8" s="89" t="str">
        <x:f>IFERROR(INDEX($B$2:$B$500,MATCH(ROWS($G$2:G8),$F$2:$F$500,0)),"")</x:f>
      </x:c>
      <x:c r="H8" s="90" t="str">
        <x:f>IFERROR(INDEX($A$2:$A$500,MATCH(G8,$B$2:$B$500,0)),"")</x:f>
      </x:c>
    </x:row>
    <x:row r="9" ht="22" customHeight="1">
      <x:c r="A9" s="45"/>
      <x:c r="B9" s="42"/>
      <x:c r="C9" s="46"/>
      <x:c r="D9" s="4"/>
      <x:c r="E9" s="47" t="str">
        <x:f>IF(C9="☑ Yes",A9,"")</x:f>
      </x:c>
      <x:c r="F9" s="89" t="str">
        <x:f>IF(B9="","",COUNTIF($B$2:$B$500,"&lt;"&amp;B9)+COUNTIF($B$2:B9,B9))</x:f>
      </x:c>
      <x:c r="G9" s="89" t="str">
        <x:f>IFERROR(INDEX($B$2:$B$500,MATCH(ROWS($G$2:G9),$F$2:$F$500,0)),"")</x:f>
      </x:c>
      <x:c r="H9" s="90" t="str">
        <x:f>IFERROR(INDEX($A$2:$A$500,MATCH(G9,$B$2:$B$500,0)),"")</x:f>
      </x:c>
    </x:row>
    <x:row r="10" ht="22" customHeight="1">
      <x:c r="A10" s="45"/>
      <x:c r="B10" s="42"/>
      <x:c r="C10" s="46"/>
      <x:c r="D10" s="4"/>
      <x:c r="E10" s="47" t="str">
        <x:f>IF(C10="☑ Yes",A10,"")</x:f>
      </x:c>
      <x:c r="F10" s="89" t="str">
        <x:f>IF(B10="","",COUNTIF($B$2:$B$500,"&lt;"&amp;B10)+COUNTIF($B$2:B10,B10))</x:f>
      </x:c>
      <x:c r="G10" s="89" t="str">
        <x:f>IFERROR(INDEX($B$2:$B$500,MATCH(ROWS($G$2:G10),$F$2:$F$500,0)),"")</x:f>
      </x:c>
      <x:c r="H10" s="90" t="str">
        <x:f>IFERROR(INDEX($A$2:$A$500,MATCH(G10,$B$2:$B$500,0)),"")</x:f>
      </x:c>
    </x:row>
    <x:row r="11" ht="22" customHeight="1">
      <x:c r="A11" s="45"/>
      <x:c r="B11" s="42"/>
      <x:c r="C11" s="46"/>
      <x:c r="D11" s="4"/>
      <x:c r="E11" s="47" t="str">
        <x:f>IF(C11="☑ Yes",A11,"")</x:f>
      </x:c>
      <x:c r="F11" s="89" t="str">
        <x:f>IF(B11="","",COUNTIF($B$2:$B$500,"&lt;"&amp;B11)+COUNTIF($B$2:B11,B11))</x:f>
      </x:c>
      <x:c r="G11" s="89" t="str">
        <x:f>IFERROR(INDEX($B$2:$B$500,MATCH(ROWS($G$2:G11),$F$2:$F$500,0)),"")</x:f>
      </x:c>
      <x:c r="H11" s="90" t="str">
        <x:f>IFERROR(INDEX($A$2:$A$500,MATCH(G11,$B$2:$B$500,0)),"")</x:f>
      </x:c>
    </x:row>
    <x:row r="12" ht="22" customHeight="1">
      <x:c r="A12" s="45"/>
      <x:c r="B12" s="42"/>
      <x:c r="C12" s="46"/>
      <x:c r="D12" s="4"/>
      <x:c r="E12" s="47" t="str">
        <x:f>IF(C12="☑ Yes",A12,"")</x:f>
      </x:c>
      <x:c r="F12" s="89" t="str">
        <x:f>IF(B12="","",COUNTIF($B$2:$B$500,"&lt;"&amp;B12)+COUNTIF($B$2:B12,B12))</x:f>
      </x:c>
      <x:c r="G12" s="89" t="str">
        <x:f>IFERROR(INDEX($B$2:$B$500,MATCH(ROWS($G$2:G12),$F$2:$F$500,0)),"")</x:f>
      </x:c>
      <x:c r="H12" s="90" t="str">
        <x:f>IFERROR(INDEX($A$2:$A$500,MATCH(G12,$B$2:$B$500,0)),"")</x:f>
      </x:c>
    </x:row>
    <x:row r="13" ht="22" customHeight="1">
      <x:c r="A13" s="45"/>
      <x:c r="B13" s="42"/>
      <x:c r="C13" s="46"/>
      <x:c r="D13" s="4"/>
      <x:c r="E13" s="47" t="str">
        <x:f>IF(C13="☑ Yes",A13,"")</x:f>
      </x:c>
      <x:c r="F13" s="89" t="str">
        <x:f>IF(B13="","",COUNTIF($B$2:$B$500,"&lt;"&amp;B13)+COUNTIF($B$2:B13,B13))</x:f>
      </x:c>
      <x:c r="G13" s="89" t="str">
        <x:f>IFERROR(INDEX($B$2:$B$500,MATCH(ROWS($G$2:G13),$F$2:$F$500,0)),"")</x:f>
      </x:c>
      <x:c r="H13" s="90" t="str">
        <x:f>IFERROR(INDEX($A$2:$A$500,MATCH(G13,$B$2:$B$500,0)),"")</x:f>
      </x:c>
    </x:row>
    <x:row r="14" ht="22" customHeight="1">
      <x:c r="A14" s="45"/>
      <x:c r="B14" s="42"/>
      <x:c r="C14" s="46"/>
      <x:c r="D14" s="4"/>
      <x:c r="E14" s="47" t="str">
        <x:f>IF(C14="☑ Yes",A14,"")</x:f>
      </x:c>
      <x:c r="F14" s="89" t="str">
        <x:f>IF(B14="","",COUNTIF($B$2:$B$500,"&lt;"&amp;B14)+COUNTIF($B$2:B14,B14))</x:f>
      </x:c>
      <x:c r="G14" s="89" t="str">
        <x:f>IFERROR(INDEX($B$2:$B$500,MATCH(ROWS($G$2:G14),$F$2:$F$500,0)),"")</x:f>
      </x:c>
      <x:c r="H14" s="90" t="str">
        <x:f>IFERROR(INDEX($A$2:$A$500,MATCH(G14,$B$2:$B$500,0)),"")</x:f>
      </x:c>
    </x:row>
    <x:row r="15" ht="22" customHeight="1">
      <x:c r="A15" s="45"/>
      <x:c r="B15" s="42"/>
      <x:c r="C15" s="46"/>
      <x:c r="D15" s="4"/>
      <x:c r="E15" s="47" t="str">
        <x:f>IF(C15="☑ Yes",A15,"")</x:f>
      </x:c>
      <x:c r="F15" s="89" t="str">
        <x:f>IF(B15="","",COUNTIF($B$2:$B$500,"&lt;"&amp;B15)+COUNTIF($B$2:B15,B15))</x:f>
      </x:c>
      <x:c r="G15" s="89" t="str">
        <x:f>IFERROR(INDEX($B$2:$B$500,MATCH(ROWS($G$2:G15),$F$2:$F$500,0)),"")</x:f>
      </x:c>
      <x:c r="H15" s="90" t="str">
        <x:f>IFERROR(INDEX($A$2:$A$500,MATCH(G15,$B$2:$B$500,0)),"")</x:f>
      </x:c>
    </x:row>
    <x:row r="16" ht="22" customHeight="1">
      <x:c r="A16" s="45"/>
      <x:c r="B16" s="42"/>
      <x:c r="C16" s="46"/>
      <x:c r="D16" s="4"/>
      <x:c r="E16" s="47" t="str">
        <x:f>IF(C16="☑ Yes",A16,"")</x:f>
      </x:c>
      <x:c r="F16" s="89" t="str">
        <x:f>IF(B16="","",COUNTIF($B$2:$B$500,"&lt;"&amp;B16)+COUNTIF($B$2:B16,B16))</x:f>
      </x:c>
      <x:c r="G16" s="89" t="str">
        <x:f>IFERROR(INDEX($B$2:$B$500,MATCH(ROWS($G$2:G16),$F$2:$F$500,0)),"")</x:f>
      </x:c>
      <x:c r="H16" s="90" t="str">
        <x:f>IFERROR(INDEX($A$2:$A$500,MATCH(G16,$B$2:$B$500,0)),"")</x:f>
      </x:c>
    </x:row>
    <x:row r="17" ht="22" customHeight="1">
      <x:c r="A17" s="45"/>
      <x:c r="B17" s="42"/>
      <x:c r="C17" s="46"/>
      <x:c r="D17" s="4"/>
      <x:c r="E17" s="47" t="str">
        <x:f>IF(C17="☑ Yes",A17,"")</x:f>
      </x:c>
      <x:c r="F17" s="89" t="str">
        <x:f>IF(B17="","",COUNTIF($B$2:$B$500,"&lt;"&amp;B17)+COUNTIF($B$2:B17,B17))</x:f>
      </x:c>
      <x:c r="G17" s="89" t="str">
        <x:f>IFERROR(INDEX($B$2:$B$500,MATCH(ROWS($G$2:G17),$F$2:$F$500,0)),"")</x:f>
      </x:c>
      <x:c r="H17" s="90" t="str">
        <x:f>IFERROR(INDEX($A$2:$A$500,MATCH(G17,$B$2:$B$500,0)),"")</x:f>
      </x:c>
    </x:row>
    <x:row r="18" ht="22" customHeight="1">
      <x:c r="A18" s="45"/>
      <x:c r="B18" s="42"/>
      <x:c r="C18" s="46"/>
      <x:c r="D18" s="4"/>
      <x:c r="E18" s="47" t="str">
        <x:f>IF(C18="☑ Yes",A18,"")</x:f>
      </x:c>
      <x:c r="F18" s="89" t="str">
        <x:f>IF(B18="","",COUNTIF($B$2:$B$500,"&lt;"&amp;B18)+COUNTIF($B$2:B18,B18))</x:f>
      </x:c>
      <x:c r="G18" s="89" t="str">
        <x:f>IFERROR(INDEX($B$2:$B$500,MATCH(ROWS($G$2:G18),$F$2:$F$500,0)),"")</x:f>
      </x:c>
      <x:c r="H18" s="90" t="str">
        <x:f>IFERROR(INDEX($A$2:$A$500,MATCH(G18,$B$2:$B$500,0)),"")</x:f>
      </x:c>
    </x:row>
    <x:row r="19" ht="22" customHeight="1">
      <x:c r="A19" s="45"/>
      <x:c r="B19" s="42"/>
      <x:c r="C19" s="46"/>
      <x:c r="D19" s="4"/>
      <x:c r="E19" s="47" t="str">
        <x:f>IF(C19="☑ Yes",A19,"")</x:f>
      </x:c>
      <x:c r="F19" s="89" t="str">
        <x:f>IF(B19="","",COUNTIF($B$2:$B$500,"&lt;"&amp;B19)+COUNTIF($B$2:B19,B19))</x:f>
      </x:c>
      <x:c r="G19" s="89" t="str">
        <x:f>IFERROR(INDEX($B$2:$B$500,MATCH(ROWS($G$2:G19),$F$2:$F$500,0)),"")</x:f>
      </x:c>
      <x:c r="H19" s="90" t="str">
        <x:f>IFERROR(INDEX($A$2:$A$500,MATCH(G19,$B$2:$B$500,0)),"")</x:f>
      </x:c>
    </x:row>
    <x:row r="20" ht="22" customHeight="1">
      <x:c r="A20" s="45"/>
      <x:c r="B20" s="42"/>
      <x:c r="C20" s="46"/>
      <x:c r="D20" s="4"/>
      <x:c r="E20" s="47" t="str">
        <x:f>IF(C20="☑ Yes",A20,"")</x:f>
      </x:c>
      <x:c r="F20" s="89" t="str">
        <x:f>IF(B20="","",COUNTIF($B$2:$B$500,"&lt;"&amp;B20)+COUNTIF($B$2:B20,B20))</x:f>
      </x:c>
      <x:c r="G20" s="89" t="str">
        <x:f>IFERROR(INDEX($B$2:$B$500,MATCH(ROWS($G$2:G20),$F$2:$F$500,0)),"")</x:f>
      </x:c>
      <x:c r="H20" s="90" t="str">
        <x:f>IFERROR(INDEX($A$2:$A$500,MATCH(G20,$B$2:$B$500,0)),"")</x:f>
      </x:c>
    </x:row>
    <x:row r="21" ht="22" customHeight="1">
      <x:c r="A21" s="45"/>
      <x:c r="B21" s="42"/>
      <x:c r="C21" s="46"/>
      <x:c r="D21" s="4"/>
      <x:c r="E21" s="47" t="str">
        <x:f>IF(C21="☑ Yes",A21,"")</x:f>
      </x:c>
      <x:c r="F21" s="89" t="str">
        <x:f>IF(B21="","",COUNTIF($B$2:$B$500,"&lt;"&amp;B21)+COUNTIF($B$2:B21,B21))</x:f>
      </x:c>
      <x:c r="G21" s="89" t="str">
        <x:f>IFERROR(INDEX($B$2:$B$500,MATCH(ROWS($G$2:G21),$F$2:$F$500,0)),"")</x:f>
      </x:c>
      <x:c r="H21" s="90" t="str">
        <x:f>IFERROR(INDEX($A$2:$A$500,MATCH(G21,$B$2:$B$500,0)),"")</x:f>
      </x:c>
    </x:row>
    <x:row r="22" ht="22" customHeight="1">
      <x:c r="A22" s="45"/>
      <x:c r="B22" s="42"/>
      <x:c r="C22" s="46"/>
      <x:c r="D22" s="4"/>
      <x:c r="E22" s="47" t="str">
        <x:f>IF(C22="☑ Yes",A22,"")</x:f>
      </x:c>
      <x:c r="F22" s="89" t="str">
        <x:f>IF(B22="","",COUNTIF($B$2:$B$500,"&lt;"&amp;B22)+COUNTIF($B$2:B22,B22))</x:f>
      </x:c>
      <x:c r="G22" s="89" t="str">
        <x:f>IFERROR(INDEX($B$2:$B$500,MATCH(ROWS($G$2:G22),$F$2:$F$500,0)),"")</x:f>
      </x:c>
      <x:c r="H22" s="90" t="str">
        <x:f>IFERROR(INDEX($A$2:$A$500,MATCH(G22,$B$2:$B$500,0)),"")</x:f>
      </x:c>
    </x:row>
    <x:row r="23" ht="22" customHeight="1">
      <x:c r="A23" s="45"/>
      <x:c r="B23" s="42"/>
      <x:c r="C23" s="46"/>
      <x:c r="D23" s="4"/>
      <x:c r="E23" s="47" t="str">
        <x:f>IF(C23="☑ Yes",A23,"")</x:f>
      </x:c>
      <x:c r="F23" s="89" t="str">
        <x:f>IF(B23="","",COUNTIF($B$2:$B$500,"&lt;"&amp;B23)+COUNTIF($B$2:B23,B23))</x:f>
      </x:c>
      <x:c r="G23" s="89" t="str">
        <x:f>IFERROR(INDEX($B$2:$B$500,MATCH(ROWS($G$2:G23),$F$2:$F$500,0)),"")</x:f>
      </x:c>
      <x:c r="H23" s="90" t="str">
        <x:f>IFERROR(INDEX($A$2:$A$500,MATCH(G23,$B$2:$B$500,0)),"")</x:f>
      </x:c>
    </x:row>
    <x:row r="24" ht="22" customHeight="1">
      <x:c r="A24" s="45"/>
      <x:c r="B24" s="42"/>
      <x:c r="C24" s="46"/>
      <x:c r="D24" s="4"/>
      <x:c r="E24" s="47" t="str">
        <x:f>IF(C24="☑ Yes",A24,"")</x:f>
      </x:c>
      <x:c r="F24" s="89" t="str">
        <x:f>IF(B24="","",COUNTIF($B$2:$B$500,"&lt;"&amp;B24)+COUNTIF($B$2:B24,B24))</x:f>
      </x:c>
      <x:c r="G24" s="89" t="str">
        <x:f>IFERROR(INDEX($B$2:$B$500,MATCH(ROWS($G$2:G24),$F$2:$F$500,0)),"")</x:f>
      </x:c>
      <x:c r="H24" s="90" t="str">
        <x:f>IFERROR(INDEX($A$2:$A$500,MATCH(G24,$B$2:$B$500,0)),"")</x:f>
      </x:c>
    </x:row>
    <x:row r="25" ht="22" customHeight="1">
      <x:c r="A25" s="45"/>
      <x:c r="B25" s="42"/>
      <x:c r="C25" s="46"/>
      <x:c r="D25" s="4"/>
      <x:c r="E25" s="47" t="str">
        <x:f>IF(C25="☑ Yes",A25,"")</x:f>
      </x:c>
      <x:c r="F25" s="89" t="str">
        <x:f>IF(B25="","",COUNTIF($B$2:$B$500,"&lt;"&amp;B25)+COUNTIF($B$2:B25,B25))</x:f>
      </x:c>
      <x:c r="G25" s="89" t="str">
        <x:f>IFERROR(INDEX($B$2:$B$500,MATCH(ROWS($G$2:G25),$F$2:$F$500,0)),"")</x:f>
      </x:c>
      <x:c r="H25" s="90" t="str">
        <x:f>IFERROR(INDEX($A$2:$A$500,MATCH(G25,$B$2:$B$500,0)),"")</x:f>
      </x:c>
    </x:row>
    <x:row r="26" ht="22" customHeight="1">
      <x:c r="A26" s="45"/>
      <x:c r="B26" s="42"/>
      <x:c r="C26" s="46"/>
      <x:c r="D26" s="4"/>
      <x:c r="E26" s="47" t="str">
        <x:f>IF(C26="☑ Yes",A26,"")</x:f>
      </x:c>
      <x:c r="F26" s="89" t="str">
        <x:f>IF(B26="","",COUNTIF($B$2:$B$500,"&lt;"&amp;B26)+COUNTIF($B$2:B26,B26))</x:f>
      </x:c>
      <x:c r="G26" s="89" t="str">
        <x:f>IFERROR(INDEX($B$2:$B$500,MATCH(ROWS($G$2:G26),$F$2:$F$500,0)),"")</x:f>
      </x:c>
      <x:c r="H26" s="90" t="str">
        <x:f>IFERROR(INDEX($A$2:$A$500,MATCH(G26,$B$2:$B$500,0)),"")</x:f>
      </x:c>
    </x:row>
    <x:row r="27" ht="22" customHeight="1">
      <x:c r="A27" s="45"/>
      <x:c r="B27" s="42"/>
      <x:c r="C27" s="46"/>
      <x:c r="D27" s="4"/>
      <x:c r="E27" s="47" t="str">
        <x:f>IF(C27="☑ Yes",A27,"")</x:f>
      </x:c>
      <x:c r="F27" s="89" t="str">
        <x:f>IF(B27="","",COUNTIF($B$2:$B$500,"&lt;"&amp;B27)+COUNTIF($B$2:B27,B27))</x:f>
      </x:c>
      <x:c r="G27" s="89" t="str">
        <x:f>IFERROR(INDEX($B$2:$B$500,MATCH(ROWS($G$2:G27),$F$2:$F$500,0)),"")</x:f>
      </x:c>
      <x:c r="H27" s="90" t="str">
        <x:f>IFERROR(INDEX($A$2:$A$500,MATCH(G27,$B$2:$B$500,0)),"")</x:f>
      </x:c>
    </x:row>
    <x:row r="28" ht="22" customHeight="1">
      <x:c r="A28" s="45"/>
      <x:c r="B28" s="42"/>
      <x:c r="C28" s="46"/>
      <x:c r="D28" s="4"/>
      <x:c r="E28" s="47" t="str">
        <x:f>IF(C28="☑ Yes",A28,"")</x:f>
      </x:c>
      <x:c r="F28" s="89" t="str">
        <x:f>IF(B28="","",COUNTIF($B$2:$B$500,"&lt;"&amp;B28)+COUNTIF($B$2:B28,B28))</x:f>
      </x:c>
      <x:c r="G28" s="89" t="str">
        <x:f>IFERROR(INDEX($B$2:$B$500,MATCH(ROWS($G$2:G28),$F$2:$F$500,0)),"")</x:f>
      </x:c>
      <x:c r="H28" s="90" t="str">
        <x:f>IFERROR(INDEX($A$2:$A$500,MATCH(G28,$B$2:$B$500,0)),"")</x:f>
      </x:c>
    </x:row>
    <x:row r="29" ht="22" customHeight="1">
      <x:c r="A29" s="45"/>
      <x:c r="B29" s="42"/>
      <x:c r="C29" s="46"/>
      <x:c r="D29" s="4"/>
      <x:c r="E29" s="47" t="str">
        <x:f>IF(C29="☑ Yes",A29,"")</x:f>
      </x:c>
      <x:c r="F29" s="89" t="str">
        <x:f>IF(B29="","",COUNTIF($B$2:$B$500,"&lt;"&amp;B29)+COUNTIF($B$2:B29,B29))</x:f>
      </x:c>
      <x:c r="G29" s="89" t="str">
        <x:f>IFERROR(INDEX($B$2:$B$500,MATCH(ROWS($G$2:G29),$F$2:$F$500,0)),"")</x:f>
      </x:c>
      <x:c r="H29" s="90" t="str">
        <x:f>IFERROR(INDEX($A$2:$A$500,MATCH(G29,$B$2:$B$500,0)),"")</x:f>
      </x:c>
    </x:row>
    <x:row r="30" ht="22" customHeight="1">
      <x:c r="A30" s="45"/>
      <x:c r="B30" s="42"/>
      <x:c r="C30" s="46"/>
      <x:c r="D30" s="4"/>
      <x:c r="E30" s="47" t="str">
        <x:f>IF(C30="☑ Yes",A30,"")</x:f>
      </x:c>
      <x:c r="F30" s="89" t="str">
        <x:f>IF(B30="","",COUNTIF($B$2:$B$500,"&lt;"&amp;B30)+COUNTIF($B$2:B30,B30))</x:f>
      </x:c>
      <x:c r="G30" s="89" t="str">
        <x:f>IFERROR(INDEX($B$2:$B$500,MATCH(ROWS($G$2:G30),$F$2:$F$500,0)),"")</x:f>
      </x:c>
      <x:c r="H30" s="90" t="str">
        <x:f>IFERROR(INDEX($A$2:$A$500,MATCH(G30,$B$2:$B$500,0)),"")</x:f>
      </x:c>
    </x:row>
    <x:row r="31" ht="22" customHeight="1">
      <x:c r="A31" s="45"/>
      <x:c r="B31" s="42"/>
      <x:c r="C31" s="46"/>
      <x:c r="D31" s="4"/>
      <x:c r="E31" s="47" t="str">
        <x:f>IF(C31="☑ Yes",A31,"")</x:f>
      </x:c>
      <x:c r="F31" s="89" t="str">
        <x:f>IF(B31="","",COUNTIF($B$2:$B$500,"&lt;"&amp;B31)+COUNTIF($B$2:B31,B31))</x:f>
      </x:c>
      <x:c r="G31" s="89" t="str">
        <x:f>IFERROR(INDEX($B$2:$B$500,MATCH(ROWS($G$2:G31),$F$2:$F$500,0)),"")</x:f>
      </x:c>
      <x:c r="H31" s="90" t="str">
        <x:f>IFERROR(INDEX($A$2:$A$500,MATCH(G31,$B$2:$B$500,0)),"")</x:f>
      </x:c>
    </x:row>
    <x:row r="32" ht="22" customHeight="1">
      <x:c r="A32" s="45"/>
      <x:c r="B32" s="42"/>
      <x:c r="C32" s="46"/>
      <x:c r="D32" s="4"/>
      <x:c r="E32" s="47" t="str">
        <x:f>IF(C32="☑ Yes",A32,"")</x:f>
      </x:c>
      <x:c r="F32" s="89" t="str">
        <x:f>IF(B32="","",COUNTIF($B$2:$B$500,"&lt;"&amp;B32)+COUNTIF($B$2:B32,B32))</x:f>
      </x:c>
      <x:c r="G32" s="89" t="str">
        <x:f>IFERROR(INDEX($B$2:$B$500,MATCH(ROWS($G$2:G32),$F$2:$F$500,0)),"")</x:f>
      </x:c>
      <x:c r="H32" s="90" t="str">
        <x:f>IFERROR(INDEX($A$2:$A$500,MATCH(G32,$B$2:$B$500,0)),"")</x:f>
      </x:c>
    </x:row>
    <x:row r="33" ht="22" customHeight="1">
      <x:c r="A33" s="45"/>
      <x:c r="B33" s="42"/>
      <x:c r="C33" s="46"/>
      <x:c r="D33" s="4"/>
      <x:c r="E33" s="47" t="str">
        <x:f>IF(C33="☑ Yes",A33,"")</x:f>
      </x:c>
      <x:c r="F33" s="89" t="str">
        <x:f>IF(B33="","",COUNTIF($B$2:$B$500,"&lt;"&amp;B33)+COUNTIF($B$2:B33,B33))</x:f>
      </x:c>
      <x:c r="G33" s="89" t="str">
        <x:f>IFERROR(INDEX($B$2:$B$500,MATCH(ROWS($G$2:G33),$F$2:$F$500,0)),"")</x:f>
      </x:c>
      <x:c r="H33" s="90" t="str">
        <x:f>IFERROR(INDEX($A$2:$A$500,MATCH(G33,$B$2:$B$500,0)),"")</x:f>
      </x:c>
    </x:row>
    <x:row r="34" ht="22" customHeight="1">
      <x:c r="A34" s="45"/>
      <x:c r="B34" s="42"/>
      <x:c r="C34" s="46"/>
      <x:c r="D34" s="4"/>
      <x:c r="E34" s="47" t="str">
        <x:f>IF(C34="☑ Yes",A34,"")</x:f>
      </x:c>
      <x:c r="F34" s="89" t="str">
        <x:f>IF(B34="","",COUNTIF($B$2:$B$500,"&lt;"&amp;B34)+COUNTIF($B$2:B34,B34))</x:f>
      </x:c>
      <x:c r="G34" s="89" t="str">
        <x:f>IFERROR(INDEX($B$2:$B$500,MATCH(ROWS($G$2:G34),$F$2:$F$500,0)),"")</x:f>
      </x:c>
      <x:c r="H34" s="90" t="str">
        <x:f>IFERROR(INDEX($A$2:$A$500,MATCH(G34,$B$2:$B$500,0)),"")</x:f>
      </x:c>
    </x:row>
    <x:row r="35" ht="22" customHeight="1">
      <x:c r="A35" s="45"/>
      <x:c r="B35" s="42"/>
      <x:c r="C35" s="46"/>
      <x:c r="D35" s="4"/>
      <x:c r="E35" s="47" t="str">
        <x:f>IF(C35="☑ Yes",A35,"")</x:f>
      </x:c>
      <x:c r="F35" s="89" t="str">
        <x:f>IF(B35="","",COUNTIF($B$2:$B$500,"&lt;"&amp;B35)+COUNTIF($B$2:B35,B35))</x:f>
      </x:c>
      <x:c r="G35" s="89" t="str">
        <x:f>IFERROR(INDEX($B$2:$B$500,MATCH(ROWS($G$2:G35),$F$2:$F$500,0)),"")</x:f>
      </x:c>
      <x:c r="H35" s="90" t="str">
        <x:f>IFERROR(INDEX($A$2:$A$500,MATCH(G35,$B$2:$B$500,0)),"")</x:f>
      </x:c>
    </x:row>
    <x:row r="36" ht="22" customHeight="1">
      <x:c r="A36" s="45"/>
      <x:c r="B36" s="42"/>
      <x:c r="C36" s="46"/>
      <x:c r="D36" s="4"/>
      <x:c r="E36" s="47" t="str">
        <x:f>IF(C36="☑ Yes",A36,"")</x:f>
      </x:c>
      <x:c r="F36" s="89" t="str">
        <x:f>IF(B36="","",COUNTIF($B$2:$B$500,"&lt;"&amp;B36)+COUNTIF($B$2:B36,B36))</x:f>
      </x:c>
      <x:c r="G36" s="89" t="str">
        <x:f>IFERROR(INDEX($B$2:$B$500,MATCH(ROWS($G$2:G36),$F$2:$F$500,0)),"")</x:f>
      </x:c>
      <x:c r="H36" s="90" t="str">
        <x:f>IFERROR(INDEX($A$2:$A$500,MATCH(G36,$B$2:$B$500,0)),"")</x:f>
      </x:c>
    </x:row>
    <x:row r="37" ht="22" customHeight="1">
      <x:c r="A37" s="45"/>
      <x:c r="B37" s="42"/>
      <x:c r="C37" s="46"/>
      <x:c r="D37" s="4"/>
      <x:c r="E37" s="47" t="str">
        <x:f>IF(C37="☑ Yes",A37,"")</x:f>
      </x:c>
      <x:c r="F37" s="89" t="str">
        <x:f>IF(B37="","",COUNTIF($B$2:$B$500,"&lt;"&amp;B37)+COUNTIF($B$2:B37,B37))</x:f>
      </x:c>
      <x:c r="G37" s="89" t="str">
        <x:f>IFERROR(INDEX($B$2:$B$500,MATCH(ROWS($G$2:G37),$F$2:$F$500,0)),"")</x:f>
      </x:c>
      <x:c r="H37" s="90" t="str">
        <x:f>IFERROR(INDEX($A$2:$A$500,MATCH(G37,$B$2:$B$500,0)),"")</x:f>
      </x:c>
    </x:row>
    <x:row r="38" ht="22" customHeight="1">
      <x:c r="A38" s="45"/>
      <x:c r="B38" s="42"/>
      <x:c r="C38" s="46"/>
      <x:c r="D38" s="4"/>
      <x:c r="E38" s="47" t="str">
        <x:f>IF(C38="☑ Yes",A38,"")</x:f>
      </x:c>
      <x:c r="F38" s="89" t="str">
        <x:f>IF(B38="","",COUNTIF($B$2:$B$500,"&lt;"&amp;B38)+COUNTIF($B$2:B38,B38))</x:f>
      </x:c>
      <x:c r="G38" s="89" t="str">
        <x:f>IFERROR(INDEX($B$2:$B$500,MATCH(ROWS($G$2:G38),$F$2:$F$500,0)),"")</x:f>
      </x:c>
      <x:c r="H38" s="90" t="str">
        <x:f>IFERROR(INDEX($A$2:$A$500,MATCH(G38,$B$2:$B$500,0)),"")</x:f>
      </x:c>
    </x:row>
    <x:row r="39" ht="22" customHeight="1">
      <x:c r="A39" s="45"/>
      <x:c r="B39" s="42"/>
      <x:c r="C39" s="46"/>
      <x:c r="D39" s="4"/>
      <x:c r="E39" s="47" t="str">
        <x:f>IF(C39="☑ Yes",A39,"")</x:f>
      </x:c>
      <x:c r="F39" s="89" t="str">
        <x:f>IF(B39="","",COUNTIF($B$2:$B$500,"&lt;"&amp;B39)+COUNTIF($B$2:B39,B39))</x:f>
      </x:c>
      <x:c r="G39" s="89" t="str">
        <x:f>IFERROR(INDEX($B$2:$B$500,MATCH(ROWS($G$2:G39),$F$2:$F$500,0)),"")</x:f>
      </x:c>
      <x:c r="H39" s="90" t="str">
        <x:f>IFERROR(INDEX($A$2:$A$500,MATCH(G39,$B$2:$B$500,0)),"")</x:f>
      </x:c>
    </x:row>
    <x:row r="40" ht="22" customHeight="1">
      <x:c r="A40" s="45"/>
      <x:c r="B40" s="42"/>
      <x:c r="C40" s="46"/>
      <x:c r="D40" s="4"/>
      <x:c r="E40" s="47" t="str">
        <x:f>IF(C40="☑ Yes",A40,"")</x:f>
      </x:c>
      <x:c r="F40" s="89" t="str">
        <x:f>IF(B40="","",COUNTIF($B$2:$B$500,"&lt;"&amp;B40)+COUNTIF($B$2:B40,B40))</x:f>
      </x:c>
      <x:c r="G40" s="89" t="str">
        <x:f>IFERROR(INDEX($B$2:$B$500,MATCH(ROWS($G$2:G40),$F$2:$F$500,0)),"")</x:f>
      </x:c>
      <x:c r="H40" s="90" t="str">
        <x:f>IFERROR(INDEX($A$2:$A$500,MATCH(G40,$B$2:$B$500,0)),"")</x:f>
      </x:c>
    </x:row>
    <x:row r="41" ht="22" customHeight="1">
      <x:c r="A41" s="45"/>
      <x:c r="B41" s="42"/>
      <x:c r="C41" s="46"/>
      <x:c r="D41" s="4"/>
      <x:c r="E41" s="47" t="str">
        <x:f>IF(C41="☑ Yes",A41,"")</x:f>
      </x:c>
      <x:c r="F41" s="89" t="str">
        <x:f>IF(B41="","",COUNTIF($B$2:$B$500,"&lt;"&amp;B41)+COUNTIF($B$2:B41,B41))</x:f>
      </x:c>
      <x:c r="G41" s="89" t="str">
        <x:f>IFERROR(INDEX($B$2:$B$500,MATCH(ROWS($G$2:G41),$F$2:$F$500,0)),"")</x:f>
      </x:c>
      <x:c r="H41" s="90" t="str">
        <x:f>IFERROR(INDEX($A$2:$A$500,MATCH(G41,$B$2:$B$500,0)),"")</x:f>
      </x:c>
    </x:row>
    <x:row r="42" ht="22" customHeight="1">
      <x:c r="A42" s="45"/>
      <x:c r="B42" s="42"/>
      <x:c r="C42" s="46"/>
      <x:c r="D42" s="4"/>
      <x:c r="E42" s="47" t="str">
        <x:f>IF(C42="☑ Yes",A42,"")</x:f>
      </x:c>
      <x:c r="F42" s="89" t="str">
        <x:f>IF(B42="","",COUNTIF($B$2:$B$500,"&lt;"&amp;B42)+COUNTIF($B$2:B42,B42))</x:f>
      </x:c>
      <x:c r="G42" s="89" t="str">
        <x:f>IFERROR(INDEX($B$2:$B$500,MATCH(ROWS($G$2:G42),$F$2:$F$500,0)),"")</x:f>
      </x:c>
      <x:c r="H42" s="90" t="str">
        <x:f>IFERROR(INDEX($A$2:$A$500,MATCH(G42,$B$2:$B$500,0)),"")</x:f>
      </x:c>
    </x:row>
    <x:row r="43" ht="22" customHeight="1">
      <x:c r="A43" s="45"/>
      <x:c r="B43" s="42"/>
      <x:c r="C43" s="46"/>
      <x:c r="D43" s="4"/>
      <x:c r="E43" s="47" t="str">
        <x:f>IF(C43="☑ Yes",A43,"")</x:f>
      </x:c>
      <x:c r="F43" s="89" t="str">
        <x:f>IF(B43="","",COUNTIF($B$2:$B$500,"&lt;"&amp;B43)+COUNTIF($B$2:B43,B43))</x:f>
      </x:c>
      <x:c r="G43" s="89" t="str">
        <x:f>IFERROR(INDEX($B$2:$B$500,MATCH(ROWS($G$2:G43),$F$2:$F$500,0)),"")</x:f>
      </x:c>
      <x:c r="H43" s="90" t="str">
        <x:f>IFERROR(INDEX($A$2:$A$500,MATCH(G43,$B$2:$B$500,0)),"")</x:f>
      </x:c>
    </x:row>
    <x:row r="44" ht="22" customHeight="1">
      <x:c r="A44" s="45"/>
      <x:c r="B44" s="42"/>
      <x:c r="C44" s="46"/>
      <x:c r="D44" s="4"/>
      <x:c r="E44" s="47" t="str">
        <x:f>IF(C44="☑ Yes",A44,"")</x:f>
      </x:c>
      <x:c r="F44" s="89" t="str">
        <x:f>IF(B44="","",COUNTIF($B$2:$B$500,"&lt;"&amp;B44)+COUNTIF($B$2:B44,B44))</x:f>
      </x:c>
      <x:c r="G44" s="89" t="str">
        <x:f>IFERROR(INDEX($B$2:$B$500,MATCH(ROWS($G$2:G44),$F$2:$F$500,0)),"")</x:f>
      </x:c>
      <x:c r="H44" s="90" t="str">
        <x:f>IFERROR(INDEX($A$2:$A$500,MATCH(G44,$B$2:$B$500,0)),"")</x:f>
      </x:c>
    </x:row>
    <x:row r="45" ht="22" customHeight="1">
      <x:c r="A45" s="45"/>
      <x:c r="B45" s="42"/>
      <x:c r="C45" s="46"/>
      <x:c r="D45" s="4"/>
      <x:c r="E45" s="47" t="str">
        <x:f>IF(C45="☑ Yes",A45,"")</x:f>
      </x:c>
      <x:c r="F45" s="89" t="str">
        <x:f>IF(B45="","",COUNTIF($B$2:$B$500,"&lt;"&amp;B45)+COUNTIF($B$2:B45,B45))</x:f>
      </x:c>
      <x:c r="G45" s="89" t="str">
        <x:f>IFERROR(INDEX($B$2:$B$500,MATCH(ROWS($G$2:G45),$F$2:$F$500,0)),"")</x:f>
      </x:c>
      <x:c r="H45" s="90" t="str">
        <x:f>IFERROR(INDEX($A$2:$A$500,MATCH(G45,$B$2:$B$500,0)),"")</x:f>
      </x:c>
    </x:row>
    <x:row r="46" ht="22" customHeight="1">
      <x:c r="A46" s="45"/>
      <x:c r="B46" s="42"/>
      <x:c r="C46" s="46"/>
      <x:c r="D46" s="4"/>
      <x:c r="E46" s="47" t="str">
        <x:f>IF(C46="☑ Yes",A46,"")</x:f>
      </x:c>
      <x:c r="F46" s="89" t="str">
        <x:f>IF(B46="","",COUNTIF($B$2:$B$500,"&lt;"&amp;B46)+COUNTIF($B$2:B46,B46))</x:f>
      </x:c>
      <x:c r="G46" s="89" t="str">
        <x:f>IFERROR(INDEX($B$2:$B$500,MATCH(ROWS($G$2:G46),$F$2:$F$500,0)),"")</x:f>
      </x:c>
      <x:c r="H46" s="90" t="str">
        <x:f>IFERROR(INDEX($A$2:$A$500,MATCH(G46,$B$2:$B$500,0)),"")</x:f>
      </x:c>
    </x:row>
    <x:row r="47" ht="22" customHeight="1">
      <x:c r="A47" s="45"/>
      <x:c r="B47" s="42"/>
      <x:c r="C47" s="46"/>
      <x:c r="D47" s="4"/>
      <x:c r="E47" s="47" t="str">
        <x:f>IF(C47="☑ Yes",A47,"")</x:f>
      </x:c>
      <x:c r="F47" s="89" t="str">
        <x:f>IF(B47="","",COUNTIF($B$2:$B$500,"&lt;"&amp;B47)+COUNTIF($B$2:B47,B47))</x:f>
      </x:c>
      <x:c r="G47" s="89" t="str">
        <x:f>IFERROR(INDEX($B$2:$B$500,MATCH(ROWS($G$2:G47),$F$2:$F$500,0)),"")</x:f>
      </x:c>
      <x:c r="H47" s="90" t="str">
        <x:f>IFERROR(INDEX($A$2:$A$500,MATCH(G47,$B$2:$B$500,0)),"")</x:f>
      </x:c>
    </x:row>
    <x:row r="48" ht="22" customHeight="1">
      <x:c r="A48" s="45"/>
      <x:c r="B48" s="42"/>
      <x:c r="C48" s="46"/>
      <x:c r="D48" s="4"/>
      <x:c r="E48" s="47" t="str">
        <x:f>IF(C48="☑ Yes",A48,"")</x:f>
      </x:c>
      <x:c r="F48" s="89" t="str">
        <x:f>IF(B48="","",COUNTIF($B$2:$B$500,"&lt;"&amp;B48)+COUNTIF($B$2:B48,B48))</x:f>
      </x:c>
      <x:c r="G48" s="89" t="str">
        <x:f>IFERROR(INDEX($B$2:$B$500,MATCH(ROWS($G$2:G48),$F$2:$F$500,0)),"")</x:f>
      </x:c>
      <x:c r="H48" s="90" t="str">
        <x:f>IFERROR(INDEX($A$2:$A$500,MATCH(G48,$B$2:$B$500,0)),"")</x:f>
      </x:c>
    </x:row>
    <x:row r="49" ht="22" customHeight="1">
      <x:c r="A49" s="45"/>
      <x:c r="B49" s="42"/>
      <x:c r="C49" s="46"/>
      <x:c r="D49" s="4"/>
      <x:c r="E49" s="47" t="str">
        <x:f>IF(C49="☑ Yes",A49,"")</x:f>
      </x:c>
      <x:c r="F49" s="89" t="str">
        <x:f>IF(B49="","",COUNTIF($B$2:$B$500,"&lt;"&amp;B49)+COUNTIF($B$2:B49,B49))</x:f>
      </x:c>
      <x:c r="G49" s="89" t="str">
        <x:f>IFERROR(INDEX($B$2:$B$500,MATCH(ROWS($G$2:G49),$F$2:$F$500,0)),"")</x:f>
      </x:c>
      <x:c r="H49" s="90" t="str">
        <x:f>IFERROR(INDEX($A$2:$A$500,MATCH(G49,$B$2:$B$500,0)),"")</x:f>
      </x:c>
    </x:row>
    <x:row r="50" ht="22" customHeight="1">
      <x:c r="A50" s="45"/>
      <x:c r="B50" s="42"/>
      <x:c r="C50" s="46"/>
      <x:c r="D50" s="4"/>
      <x:c r="E50" s="47" t="str">
        <x:f>IF(C50="☑ Yes",A50,"")</x:f>
      </x:c>
      <x:c r="F50" s="89" t="str">
        <x:f>IF(B50="","",COUNTIF($B$2:$B$500,"&lt;"&amp;B50)+COUNTIF($B$2:B50,B50))</x:f>
      </x:c>
      <x:c r="G50" s="89" t="str">
        <x:f>IFERROR(INDEX($B$2:$B$500,MATCH(ROWS($G$2:G50),$F$2:$F$500,0)),"")</x:f>
      </x:c>
      <x:c r="H50" s="90" t="str">
        <x:f>IFERROR(INDEX($A$2:$A$500,MATCH(G50,$B$2:$B$500,0)),"")</x:f>
      </x:c>
    </x:row>
    <x:row r="51" ht="22" customHeight="1">
      <x:c r="A51" s="45"/>
      <x:c r="B51" s="42"/>
      <x:c r="C51" s="46"/>
      <x:c r="D51" s="4"/>
      <x:c r="E51" s="47" t="str">
        <x:f>IF(C51="☑ Yes",A51,"")</x:f>
      </x:c>
      <x:c r="F51" s="89" t="str">
        <x:f>IF(B51="","",COUNTIF($B$2:$B$500,"&lt;"&amp;B51)+COUNTIF($B$2:B51,B51))</x:f>
      </x:c>
      <x:c r="G51" s="89" t="str">
        <x:f>IFERROR(INDEX($B$2:$B$500,MATCH(ROWS($G$2:G51),$F$2:$F$500,0)),"")</x:f>
      </x:c>
      <x:c r="H51" s="90" t="str">
        <x:f>IFERROR(INDEX($A$2:$A$500,MATCH(G51,$B$2:$B$500,0)),"")</x:f>
      </x:c>
    </x:row>
    <x:row r="52" ht="22" customHeight="1">
      <x:c r="A52" s="45"/>
      <x:c r="B52" s="42"/>
      <x:c r="C52" s="46"/>
      <x:c r="D52" s="4"/>
      <x:c r="E52" s="47" t="str">
        <x:f>IF(C52="☑ Yes",A52,"")</x:f>
      </x:c>
      <x:c r="F52" s="89" t="str">
        <x:f>IF(B52="","",COUNTIF($B$2:$B$500,"&lt;"&amp;B52)+COUNTIF($B$2:B52,B52))</x:f>
      </x:c>
      <x:c r="G52" s="89" t="str">
        <x:f>IFERROR(INDEX($B$2:$B$500,MATCH(ROWS($G$2:G52),$F$2:$F$500,0)),"")</x:f>
      </x:c>
      <x:c r="H52" s="90" t="str">
        <x:f>IFERROR(INDEX($A$2:$A$500,MATCH(G52,$B$2:$B$500,0)),"")</x:f>
      </x:c>
    </x:row>
    <x:row r="53" ht="22" customHeight="1">
      <x:c r="A53" s="45"/>
      <x:c r="B53" s="42"/>
      <x:c r="C53" s="46"/>
      <x:c r="D53" s="4"/>
      <x:c r="E53" s="47" t="str">
        <x:f>IF(C53="☑ Yes",A53,"")</x:f>
      </x:c>
      <x:c r="F53" s="89" t="str">
        <x:f>IF(B53="","",COUNTIF($B$2:$B$500,"&lt;"&amp;B53)+COUNTIF($B$2:B53,B53))</x:f>
      </x:c>
      <x:c r="G53" s="89" t="str">
        <x:f>IFERROR(INDEX($B$2:$B$500,MATCH(ROWS($G$2:G53),$F$2:$F$500,0)),"")</x:f>
      </x:c>
      <x:c r="H53" s="90" t="str">
        <x:f>IFERROR(INDEX($A$2:$A$500,MATCH(G53,$B$2:$B$500,0)),"")</x:f>
      </x:c>
    </x:row>
    <x:row r="54" ht="22" customHeight="1">
      <x:c r="A54" s="45"/>
      <x:c r="B54" s="42"/>
      <x:c r="C54" s="46"/>
      <x:c r="D54" s="4"/>
      <x:c r="E54" s="47" t="str">
        <x:f>IF(C54="☑ Yes",A54,"")</x:f>
      </x:c>
      <x:c r="F54" s="89" t="str">
        <x:f>IF(B54="","",COUNTIF($B$2:$B$500,"&lt;"&amp;B54)+COUNTIF($B$2:B54,B54))</x:f>
      </x:c>
      <x:c r="G54" s="89" t="str">
        <x:f>IFERROR(INDEX($B$2:$B$500,MATCH(ROWS($G$2:G54),$F$2:$F$500,0)),"")</x:f>
      </x:c>
      <x:c r="H54" s="90" t="str">
        <x:f>IFERROR(INDEX($A$2:$A$500,MATCH(G54,$B$2:$B$500,0)),"")</x:f>
      </x:c>
    </x:row>
    <x:row r="55" ht="22" customHeight="1">
      <x:c r="A55" s="45"/>
      <x:c r="B55" s="42"/>
      <x:c r="C55" s="46"/>
      <x:c r="D55" s="4"/>
      <x:c r="E55" s="47" t="str">
        <x:f>IF(C55="☑ Yes",A55,"")</x:f>
      </x:c>
      <x:c r="F55" s="89" t="str">
        <x:f>IF(B55="","",COUNTIF($B$2:$B$500,"&lt;"&amp;B55)+COUNTIF($B$2:B55,B55))</x:f>
      </x:c>
      <x:c r="G55" s="89" t="str">
        <x:f>IFERROR(INDEX($B$2:$B$500,MATCH(ROWS($G$2:G55),$F$2:$F$500,0)),"")</x:f>
      </x:c>
      <x:c r="H55" s="90" t="str">
        <x:f>IFERROR(INDEX($A$2:$A$500,MATCH(G55,$B$2:$B$500,0)),"")</x:f>
      </x:c>
    </x:row>
    <x:row r="56" ht="22" customHeight="1">
      <x:c r="A56" s="45"/>
      <x:c r="B56" s="42"/>
      <x:c r="C56" s="46"/>
      <x:c r="D56" s="4"/>
      <x:c r="E56" s="47" t="str">
        <x:f>IF(C56="☑ Yes",A56,"")</x:f>
      </x:c>
      <x:c r="F56" s="89" t="str">
        <x:f>IF(B56="","",COUNTIF($B$2:$B$500,"&lt;"&amp;B56)+COUNTIF($B$2:B56,B56))</x:f>
      </x:c>
      <x:c r="G56" s="89" t="str">
        <x:f>IFERROR(INDEX($B$2:$B$500,MATCH(ROWS($G$2:G56),$F$2:$F$500,0)),"")</x:f>
      </x:c>
      <x:c r="H56" s="90" t="str">
        <x:f>IFERROR(INDEX($A$2:$A$500,MATCH(G56,$B$2:$B$500,0)),"")</x:f>
      </x:c>
    </x:row>
    <x:row r="57" ht="22" customHeight="1">
      <x:c r="A57" s="45"/>
      <x:c r="B57" s="42"/>
      <x:c r="C57" s="46"/>
      <x:c r="D57" s="4"/>
      <x:c r="E57" s="47" t="str">
        <x:f>IF(C57="☑ Yes",A57,"")</x:f>
      </x:c>
      <x:c r="F57" s="89" t="str">
        <x:f>IF(B57="","",COUNTIF($B$2:$B$500,"&lt;"&amp;B57)+COUNTIF($B$2:B57,B57))</x:f>
      </x:c>
      <x:c r="G57" s="89" t="str">
        <x:f>IFERROR(INDEX($B$2:$B$500,MATCH(ROWS($G$2:G57),$F$2:$F$500,0)),"")</x:f>
      </x:c>
      <x:c r="H57" s="90" t="str">
        <x:f>IFERROR(INDEX($A$2:$A$500,MATCH(G57,$B$2:$B$500,0)),"")</x:f>
      </x:c>
    </x:row>
    <x:row r="58" ht="22" customHeight="1">
      <x:c r="A58" s="45"/>
      <x:c r="B58" s="42"/>
      <x:c r="C58" s="46"/>
      <x:c r="D58" s="4"/>
      <x:c r="E58" s="47" t="str">
        <x:f>IF(C58="☑ Yes",A58,"")</x:f>
      </x:c>
      <x:c r="F58" s="89" t="str">
        <x:f>IF(B58="","",COUNTIF($B$2:$B$500,"&lt;"&amp;B58)+COUNTIF($B$2:B58,B58))</x:f>
      </x:c>
      <x:c r="G58" s="89" t="str">
        <x:f>IFERROR(INDEX($B$2:$B$500,MATCH(ROWS($G$2:G58),$F$2:$F$500,0)),"")</x:f>
      </x:c>
      <x:c r="H58" s="90" t="str">
        <x:f>IFERROR(INDEX($A$2:$A$500,MATCH(G58,$B$2:$B$500,0)),"")</x:f>
      </x:c>
    </x:row>
    <x:row r="59" ht="22" customHeight="1">
      <x:c r="A59" s="45"/>
      <x:c r="B59" s="42"/>
      <x:c r="C59" s="46"/>
      <x:c r="D59" s="4"/>
      <x:c r="E59" s="47" t="str">
        <x:f>IF(C59="☑ Yes",A59,"")</x:f>
      </x:c>
      <x:c r="F59" s="89" t="str">
        <x:f>IF(B59="","",COUNTIF($B$2:$B$500,"&lt;"&amp;B59)+COUNTIF($B$2:B59,B59))</x:f>
      </x:c>
      <x:c r="G59" s="89" t="str">
        <x:f>IFERROR(INDEX($B$2:$B$500,MATCH(ROWS($G$2:G59),$F$2:$F$500,0)),"")</x:f>
      </x:c>
      <x:c r="H59" s="90" t="str">
        <x:f>IFERROR(INDEX($A$2:$A$500,MATCH(G59,$B$2:$B$500,0)),"")</x:f>
      </x:c>
    </x:row>
    <x:row r="60" ht="22" customHeight="1">
      <x:c r="A60" s="45"/>
      <x:c r="B60" s="42"/>
      <x:c r="C60" s="46"/>
      <x:c r="D60" s="4"/>
      <x:c r="E60" s="47" t="str">
        <x:f>IF(C60="☑ Yes",A60,"")</x:f>
      </x:c>
      <x:c r="F60" s="89" t="str">
        <x:f>IF(B60="","",COUNTIF($B$2:$B$500,"&lt;"&amp;B60)+COUNTIF($B$2:B60,B60))</x:f>
      </x:c>
      <x:c r="G60" s="89" t="str">
        <x:f>IFERROR(INDEX($B$2:$B$500,MATCH(ROWS($G$2:G60),$F$2:$F$500,0)),"")</x:f>
      </x:c>
      <x:c r="H60" s="90" t="str">
        <x:f>IFERROR(INDEX($A$2:$A$500,MATCH(G60,$B$2:$B$500,0)),"")</x:f>
      </x:c>
    </x:row>
    <x:row r="61" ht="22" customHeight="1">
      <x:c r="A61" s="45"/>
      <x:c r="B61" s="42"/>
      <x:c r="C61" s="46"/>
      <x:c r="D61" s="4"/>
      <x:c r="E61" s="47" t="str">
        <x:f>IF(C61="☑ Yes",A61,"")</x:f>
      </x:c>
      <x:c r="F61" s="89" t="str">
        <x:f>IF(B61="","",COUNTIF($B$2:$B$500,"&lt;"&amp;B61)+COUNTIF($B$2:B61,B61))</x:f>
      </x:c>
      <x:c r="G61" s="89" t="str">
        <x:f>IFERROR(INDEX($B$2:$B$500,MATCH(ROWS($G$2:G61),$F$2:$F$500,0)),"")</x:f>
      </x:c>
      <x:c r="H61" s="90" t="str">
        <x:f>IFERROR(INDEX($A$2:$A$500,MATCH(G61,$B$2:$B$500,0)),"")</x:f>
      </x:c>
    </x:row>
    <x:row r="62" ht="22" customHeight="1">
      <x:c r="A62" s="45"/>
      <x:c r="B62" s="42"/>
      <x:c r="C62" s="46"/>
      <x:c r="D62" s="4"/>
      <x:c r="E62" s="47" t="str">
        <x:f>IF(C62="☑ Yes",A62,"")</x:f>
      </x:c>
      <x:c r="F62" s="89" t="str">
        <x:f>IF(B62="","",COUNTIF($B$2:$B$500,"&lt;"&amp;B62)+COUNTIF($B$2:B62,B62))</x:f>
      </x:c>
      <x:c r="G62" s="89" t="str">
        <x:f>IFERROR(INDEX($B$2:$B$500,MATCH(ROWS($G$2:G62),$F$2:$F$500,0)),"")</x:f>
      </x:c>
      <x:c r="H62" s="90" t="str">
        <x:f>IFERROR(INDEX($A$2:$A$500,MATCH(G62,$B$2:$B$500,0)),"")</x:f>
      </x:c>
    </x:row>
    <x:row r="63" ht="22" customHeight="1">
      <x:c r="A63" s="45"/>
      <x:c r="B63" s="42"/>
      <x:c r="C63" s="46"/>
      <x:c r="D63" s="4"/>
      <x:c r="E63" s="47" t="str">
        <x:f>IF(C63="☑ Yes",A63,"")</x:f>
      </x:c>
      <x:c r="F63" s="89" t="str">
        <x:f>IF(B63="","",COUNTIF($B$2:$B$500,"&lt;"&amp;B63)+COUNTIF($B$2:B63,B63))</x:f>
      </x:c>
      <x:c r="G63" s="89" t="str">
        <x:f>IFERROR(INDEX($B$2:$B$500,MATCH(ROWS($G$2:G63),$F$2:$F$500,0)),"")</x:f>
      </x:c>
      <x:c r="H63" s="90" t="str">
        <x:f>IFERROR(INDEX($A$2:$A$500,MATCH(G63,$B$2:$B$500,0)),"")</x:f>
      </x:c>
    </x:row>
    <x:row r="64" ht="22" customHeight="1">
      <x:c r="A64" s="45"/>
      <x:c r="B64" s="42"/>
      <x:c r="C64" s="46"/>
      <x:c r="D64" s="4"/>
      <x:c r="E64" s="47" t="str">
        <x:f>IF(C64="☑ Yes",A64,"")</x:f>
      </x:c>
      <x:c r="F64" s="89" t="str">
        <x:f>IF(B64="","",COUNTIF($B$2:$B$500,"&lt;"&amp;B64)+COUNTIF($B$2:B64,B64))</x:f>
      </x:c>
      <x:c r="G64" s="89" t="str">
        <x:f>IFERROR(INDEX($B$2:$B$500,MATCH(ROWS($G$2:G64),$F$2:$F$500,0)),"")</x:f>
      </x:c>
      <x:c r="H64" s="90" t="str">
        <x:f>IFERROR(INDEX($A$2:$A$500,MATCH(G64,$B$2:$B$500,0)),"")</x:f>
      </x:c>
    </x:row>
    <x:row r="65" ht="22" customHeight="1">
      <x:c r="A65" s="45"/>
      <x:c r="B65" s="42"/>
      <x:c r="C65" s="46"/>
      <x:c r="D65" s="4"/>
      <x:c r="E65" s="47" t="str">
        <x:f>IF(C65="☑ Yes",A65,"")</x:f>
      </x:c>
      <x:c r="F65" s="89" t="str">
        <x:f>IF(B65="","",COUNTIF($B$2:$B$500,"&lt;"&amp;B65)+COUNTIF($B$2:B65,B65))</x:f>
      </x:c>
      <x:c r="G65" s="89" t="str">
        <x:f>IFERROR(INDEX($B$2:$B$500,MATCH(ROWS($G$2:G65),$F$2:$F$500,0)),"")</x:f>
      </x:c>
      <x:c r="H65" s="90" t="str">
        <x:f>IFERROR(INDEX($A$2:$A$500,MATCH(G65,$B$2:$B$500,0)),"")</x:f>
      </x:c>
    </x:row>
    <x:row r="66" ht="22" customHeight="1">
      <x:c r="A66" s="45"/>
      <x:c r="B66" s="42"/>
      <x:c r="C66" s="46"/>
      <x:c r="D66" s="4"/>
      <x:c r="E66" s="47" t="str">
        <x:f>IF(C66="☑ Yes",A66,"")</x:f>
      </x:c>
      <x:c r="F66" s="89" t="str">
        <x:f>IF(B66="","",COUNTIF($B$2:$B$500,"&lt;"&amp;B66)+COUNTIF($B$2:B66,B66))</x:f>
      </x:c>
      <x:c r="G66" s="89" t="str">
        <x:f>IFERROR(INDEX($B$2:$B$500,MATCH(ROWS($G$2:G66),$F$2:$F$500,0)),"")</x:f>
      </x:c>
      <x:c r="H66" s="90" t="str">
        <x:f>IFERROR(INDEX($A$2:$A$500,MATCH(G66,$B$2:$B$500,0)),"")</x:f>
      </x:c>
    </x:row>
    <x:row r="67" ht="22" customHeight="1">
      <x:c r="A67" s="45"/>
      <x:c r="B67" s="42"/>
      <x:c r="C67" s="46"/>
      <x:c r="D67" s="4"/>
      <x:c r="E67" s="47" t="str">
        <x:f>IF(C67="☑ Yes",A67,"")</x:f>
      </x:c>
      <x:c r="F67" s="89" t="str">
        <x:f>IF(B67="","",COUNTIF($B$2:$B$500,"&lt;"&amp;B67)+COUNTIF($B$2:B67,B67))</x:f>
      </x:c>
      <x:c r="G67" s="89" t="str">
        <x:f>IFERROR(INDEX($B$2:$B$500,MATCH(ROWS($G$2:G67),$F$2:$F$500,0)),"")</x:f>
      </x:c>
      <x:c r="H67" s="90" t="str">
        <x:f>IFERROR(INDEX($A$2:$A$500,MATCH(G67,$B$2:$B$500,0)),"")</x:f>
      </x:c>
    </x:row>
    <x:row r="68" ht="22" customHeight="1">
      <x:c r="A68" s="45"/>
      <x:c r="B68" s="42"/>
      <x:c r="C68" s="46"/>
      <x:c r="D68" s="4"/>
      <x:c r="E68" s="47" t="str">
        <x:f>IF(C68="☑ Yes",A68,"")</x:f>
      </x:c>
      <x:c r="F68" s="89" t="str">
        <x:f>IF(B68="","",COUNTIF($B$2:$B$500,"&lt;"&amp;B68)+COUNTIF($B$2:B68,B68))</x:f>
      </x:c>
      <x:c r="G68" s="89" t="str">
        <x:f>IFERROR(INDEX($B$2:$B$500,MATCH(ROWS($G$2:G68),$F$2:$F$500,0)),"")</x:f>
      </x:c>
      <x:c r="H68" s="90" t="str">
        <x:f>IFERROR(INDEX($A$2:$A$500,MATCH(G68,$B$2:$B$500,0)),"")</x:f>
      </x:c>
    </x:row>
    <x:row r="69" ht="22" customHeight="1">
      <x:c r="A69" s="45"/>
      <x:c r="B69" s="42"/>
      <x:c r="C69" s="46"/>
      <x:c r="D69" s="4"/>
      <x:c r="E69" s="47" t="str">
        <x:f>IF(C69="☑ Yes",A69,"")</x:f>
      </x:c>
      <x:c r="F69" s="89" t="str">
        <x:f>IF(B69="","",COUNTIF($B$2:$B$500,"&lt;"&amp;B69)+COUNTIF($B$2:B69,B69))</x:f>
      </x:c>
      <x:c r="G69" s="89" t="str">
        <x:f>IFERROR(INDEX($B$2:$B$500,MATCH(ROWS($G$2:G69),$F$2:$F$500,0)),"")</x:f>
      </x:c>
      <x:c r="H69" s="90" t="str">
        <x:f>IFERROR(INDEX($A$2:$A$500,MATCH(G69,$B$2:$B$500,0)),"")</x:f>
      </x:c>
    </x:row>
    <x:row r="70" ht="22" customHeight="1">
      <x:c r="A70" s="45"/>
      <x:c r="B70" s="42"/>
      <x:c r="C70" s="46"/>
      <x:c r="D70" s="4"/>
      <x:c r="E70" s="47" t="str">
        <x:f>IF(C70="☑ Yes",A70,"")</x:f>
      </x:c>
      <x:c r="F70" s="89" t="str">
        <x:f>IF(B70="","",COUNTIF($B$2:$B$500,"&lt;"&amp;B70)+COUNTIF($B$2:B70,B70))</x:f>
      </x:c>
      <x:c r="G70" s="89" t="str">
        <x:f>IFERROR(INDEX($B$2:$B$500,MATCH(ROWS($G$2:G70),$F$2:$F$500,0)),"")</x:f>
      </x:c>
      <x:c r="H70" s="90" t="str">
        <x:f>IFERROR(INDEX($A$2:$A$500,MATCH(G70,$B$2:$B$500,0)),"")</x:f>
      </x:c>
    </x:row>
    <x:row r="71" ht="22" customHeight="1">
      <x:c r="A71" s="45"/>
      <x:c r="B71" s="42"/>
      <x:c r="C71" s="46"/>
      <x:c r="D71" s="4"/>
      <x:c r="E71" s="47" t="str">
        <x:f>IF(C71="☑ Yes",A71,"")</x:f>
      </x:c>
      <x:c r="F71" s="89" t="str">
        <x:f>IF(B71="","",COUNTIF($B$2:$B$500,"&lt;"&amp;B71)+COUNTIF($B$2:B71,B71))</x:f>
      </x:c>
      <x:c r="G71" s="89" t="str">
        <x:f>IFERROR(INDEX($B$2:$B$500,MATCH(ROWS($G$2:G71),$F$2:$F$500,0)),"")</x:f>
      </x:c>
      <x:c r="H71" s="90" t="str">
        <x:f>IFERROR(INDEX($A$2:$A$500,MATCH(G71,$B$2:$B$500,0)),"")</x:f>
      </x:c>
    </x:row>
    <x:row r="72" ht="22" customHeight="1">
      <x:c r="A72" s="45"/>
      <x:c r="B72" s="42"/>
      <x:c r="C72" s="46"/>
      <x:c r="D72" s="4"/>
      <x:c r="E72" s="47" t="str">
        <x:f>IF(C72="☑ Yes",A72,"")</x:f>
      </x:c>
      <x:c r="F72" s="89" t="str">
        <x:f>IF(B72="","",COUNTIF($B$2:$B$500,"&lt;"&amp;B72)+COUNTIF($B$2:B72,B72))</x:f>
      </x:c>
      <x:c r="G72" s="89" t="str">
        <x:f>IFERROR(INDEX($B$2:$B$500,MATCH(ROWS($G$2:G72),$F$2:$F$500,0)),"")</x:f>
      </x:c>
      <x:c r="H72" s="90" t="str">
        <x:f>IFERROR(INDEX($A$2:$A$500,MATCH(G72,$B$2:$B$500,0)),"")</x:f>
      </x:c>
    </x:row>
    <x:row r="73" ht="22" customHeight="1">
      <x:c r="A73" s="45"/>
      <x:c r="B73" s="42"/>
      <x:c r="C73" s="46"/>
      <x:c r="D73" s="4"/>
      <x:c r="E73" s="47" t="str">
        <x:f>IF(C73="☑ Yes",A73,"")</x:f>
      </x:c>
      <x:c r="F73" s="89" t="str">
        <x:f>IF(B73="","",COUNTIF($B$2:$B$500,"&lt;"&amp;B73)+COUNTIF($B$2:B73,B73))</x:f>
      </x:c>
      <x:c r="G73" s="89" t="str">
        <x:f>IFERROR(INDEX($B$2:$B$500,MATCH(ROWS($G$2:G73),$F$2:$F$500,0)),"")</x:f>
      </x:c>
      <x:c r="H73" s="90" t="str">
        <x:f>IFERROR(INDEX($A$2:$A$500,MATCH(G73,$B$2:$B$500,0)),"")</x:f>
      </x:c>
    </x:row>
    <x:row r="74" ht="22" customHeight="1">
      <x:c r="A74" s="45"/>
      <x:c r="B74" s="42"/>
      <x:c r="C74" s="46"/>
      <x:c r="D74" s="4"/>
      <x:c r="E74" s="47" t="str">
        <x:f>IF(C74="☑ Yes",A74,"")</x:f>
      </x:c>
      <x:c r="F74" s="89" t="str">
        <x:f>IF(B74="","",COUNTIF($B$2:$B$500,"&lt;"&amp;B74)+COUNTIF($B$2:B74,B74))</x:f>
      </x:c>
      <x:c r="G74" s="89" t="str">
        <x:f>IFERROR(INDEX($B$2:$B$500,MATCH(ROWS($G$2:G74),$F$2:$F$500,0)),"")</x:f>
      </x:c>
      <x:c r="H74" s="90" t="str">
        <x:f>IFERROR(INDEX($A$2:$A$500,MATCH(G74,$B$2:$B$500,0)),"")</x:f>
      </x:c>
    </x:row>
    <x:row r="75" ht="22" customHeight="1">
      <x:c r="A75" s="45"/>
      <x:c r="B75" s="42"/>
      <x:c r="C75" s="46"/>
      <x:c r="D75" s="4"/>
      <x:c r="E75" s="47" t="str">
        <x:f>IF(C75="☑ Yes",A75,"")</x:f>
      </x:c>
      <x:c r="F75" s="89" t="str">
        <x:f>IF(B75="","",COUNTIF($B$2:$B$500,"&lt;"&amp;B75)+COUNTIF($B$2:B75,B75))</x:f>
      </x:c>
      <x:c r="G75" s="89" t="str">
        <x:f>IFERROR(INDEX($B$2:$B$500,MATCH(ROWS($G$2:G75),$F$2:$F$500,0)),"")</x:f>
      </x:c>
      <x:c r="H75" s="90" t="str">
        <x:f>IFERROR(INDEX($A$2:$A$500,MATCH(G75,$B$2:$B$500,0)),"")</x:f>
      </x:c>
    </x:row>
    <x:row r="76" ht="22" customHeight="1">
      <x:c r="A76" s="45"/>
      <x:c r="B76" s="42"/>
      <x:c r="C76" s="46"/>
      <x:c r="D76" s="4"/>
      <x:c r="E76" s="47" t="str">
        <x:f>IF(C76="☑ Yes",A76,"")</x:f>
      </x:c>
      <x:c r="F76" s="89" t="str">
        <x:f>IF(B76="","",COUNTIF($B$2:$B$500,"&lt;"&amp;B76)+COUNTIF($B$2:B76,B76))</x:f>
      </x:c>
      <x:c r="G76" s="89" t="str">
        <x:f>IFERROR(INDEX($B$2:$B$500,MATCH(ROWS($G$2:G76),$F$2:$F$500,0)),"")</x:f>
      </x:c>
      <x:c r="H76" s="90" t="str">
        <x:f>IFERROR(INDEX($A$2:$A$500,MATCH(G76,$B$2:$B$500,0)),"")</x:f>
      </x:c>
    </x:row>
    <x:row r="77" ht="22" customHeight="1">
      <x:c r="A77" s="45"/>
      <x:c r="B77" s="42"/>
      <x:c r="C77" s="46"/>
      <x:c r="D77" s="4"/>
      <x:c r="E77" s="47" t="str">
        <x:f>IF(C77="☑ Yes",A77,"")</x:f>
      </x:c>
      <x:c r="F77" s="89" t="str">
        <x:f>IF(B77="","",COUNTIF($B$2:$B$500,"&lt;"&amp;B77)+COUNTIF($B$2:B77,B77))</x:f>
      </x:c>
      <x:c r="G77" s="89" t="str">
        <x:f>IFERROR(INDEX($B$2:$B$500,MATCH(ROWS($G$2:G77),$F$2:$F$500,0)),"")</x:f>
      </x:c>
      <x:c r="H77" s="90" t="str">
        <x:f>IFERROR(INDEX($A$2:$A$500,MATCH(G77,$B$2:$B$500,0)),"")</x:f>
      </x:c>
    </x:row>
    <x:row r="78" ht="22" customHeight="1">
      <x:c r="A78" s="45"/>
      <x:c r="B78" s="42"/>
      <x:c r="C78" s="46"/>
      <x:c r="D78" s="4"/>
      <x:c r="E78" s="47" t="str">
        <x:f>IF(C78="☑ Yes",A78,"")</x:f>
      </x:c>
      <x:c r="F78" s="89" t="str">
        <x:f>IF(B78="","",COUNTIF($B$2:$B$500,"&lt;"&amp;B78)+COUNTIF($B$2:B78,B78))</x:f>
      </x:c>
      <x:c r="G78" s="89" t="str">
        <x:f>IFERROR(INDEX($B$2:$B$500,MATCH(ROWS($G$2:G78),$F$2:$F$500,0)),"")</x:f>
      </x:c>
      <x:c r="H78" s="90" t="str">
        <x:f>IFERROR(INDEX($A$2:$A$500,MATCH(G78,$B$2:$B$500,0)),"")</x:f>
      </x:c>
    </x:row>
    <x:row r="79" ht="22" customHeight="1">
      <x:c r="A79" s="45"/>
      <x:c r="B79" s="42"/>
      <x:c r="C79" s="46"/>
      <x:c r="D79" s="4"/>
      <x:c r="E79" s="47" t="str">
        <x:f>IF(C79="☑ Yes",A79,"")</x:f>
      </x:c>
      <x:c r="F79" s="89" t="str">
        <x:f>IF(B79="","",COUNTIF($B$2:$B$500,"&lt;"&amp;B79)+COUNTIF($B$2:B79,B79))</x:f>
      </x:c>
      <x:c r="G79" s="89" t="str">
        <x:f>IFERROR(INDEX($B$2:$B$500,MATCH(ROWS($G$2:G79),$F$2:$F$500,0)),"")</x:f>
      </x:c>
      <x:c r="H79" s="90" t="str">
        <x:f>IFERROR(INDEX($A$2:$A$500,MATCH(G79,$B$2:$B$500,0)),"")</x:f>
      </x:c>
    </x:row>
    <x:row r="80" ht="22" customHeight="1">
      <x:c r="A80" s="45"/>
      <x:c r="B80" s="42"/>
      <x:c r="C80" s="46"/>
      <x:c r="D80" s="4"/>
      <x:c r="E80" s="47" t="str">
        <x:f>IF(C80="☑ Yes",A80,"")</x:f>
      </x:c>
      <x:c r="F80" s="89" t="str">
        <x:f>IF(B80="","",COUNTIF($B$2:$B$500,"&lt;"&amp;B80)+COUNTIF($B$2:B80,B80))</x:f>
      </x:c>
      <x:c r="G80" s="89" t="str">
        <x:f>IFERROR(INDEX($B$2:$B$500,MATCH(ROWS($G$2:G80),$F$2:$F$500,0)),"")</x:f>
      </x:c>
      <x:c r="H80" s="90" t="str">
        <x:f>IFERROR(INDEX($A$2:$A$500,MATCH(G80,$B$2:$B$500,0)),"")</x:f>
      </x:c>
    </x:row>
    <x:row r="81" ht="22" customHeight="1">
      <x:c r="A81" s="45"/>
      <x:c r="B81" s="42"/>
      <x:c r="C81" s="46"/>
      <x:c r="D81" s="4"/>
      <x:c r="E81" s="47" t="str">
        <x:f>IF(C81="☑ Yes",A81,"")</x:f>
      </x:c>
      <x:c r="F81" s="89" t="str">
        <x:f>IF(B81="","",COUNTIF($B$2:$B$500,"&lt;"&amp;B81)+COUNTIF($B$2:B81,B81))</x:f>
      </x:c>
      <x:c r="G81" s="89" t="str">
        <x:f>IFERROR(INDEX($B$2:$B$500,MATCH(ROWS($G$2:G81),$F$2:$F$500,0)),"")</x:f>
      </x:c>
      <x:c r="H81" s="90" t="str">
        <x:f>IFERROR(INDEX($A$2:$A$500,MATCH(G81,$B$2:$B$500,0)),"")</x:f>
      </x:c>
    </x:row>
    <x:row r="82" ht="22" customHeight="1">
      <x:c r="A82" s="45"/>
      <x:c r="B82" s="42"/>
      <x:c r="C82" s="46"/>
      <x:c r="D82" s="4"/>
      <x:c r="E82" s="47" t="str">
        <x:f>IF(C82="☑ Yes",A82,"")</x:f>
      </x:c>
      <x:c r="F82" s="89" t="str">
        <x:f>IF(B82="","",COUNTIF($B$2:$B$500,"&lt;"&amp;B82)+COUNTIF($B$2:B82,B82))</x:f>
      </x:c>
      <x:c r="G82" s="89" t="str">
        <x:f>IFERROR(INDEX($B$2:$B$500,MATCH(ROWS($G$2:G82),$F$2:$F$500,0)),"")</x:f>
      </x:c>
      <x:c r="H82" s="90" t="str">
        <x:f>IFERROR(INDEX($A$2:$A$500,MATCH(G82,$B$2:$B$500,0)),"")</x:f>
      </x:c>
    </x:row>
    <x:row r="83" ht="22" customHeight="1">
      <x:c r="A83" s="45"/>
      <x:c r="B83" s="42"/>
      <x:c r="C83" s="46"/>
      <x:c r="D83" s="4"/>
      <x:c r="E83" s="47" t="str">
        <x:f>IF(C83="☑ Yes",A83,"")</x:f>
      </x:c>
      <x:c r="F83" s="89" t="str">
        <x:f>IF(B83="","",COUNTIF($B$2:$B$500,"&lt;"&amp;B83)+COUNTIF($B$2:B83,B83))</x:f>
      </x:c>
      <x:c r="G83" s="89" t="str">
        <x:f>IFERROR(INDEX($B$2:$B$500,MATCH(ROWS($G$2:G83),$F$2:$F$500,0)),"")</x:f>
      </x:c>
      <x:c r="H83" s="90" t="str">
        <x:f>IFERROR(INDEX($A$2:$A$500,MATCH(G83,$B$2:$B$500,0)),"")</x:f>
      </x:c>
    </x:row>
    <x:row r="84" ht="22" customHeight="1">
      <x:c r="A84" s="45"/>
      <x:c r="B84" s="42"/>
      <x:c r="C84" s="46"/>
      <x:c r="D84" s="4"/>
      <x:c r="E84" s="47" t="str">
        <x:f>IF(C84="☑ Yes",A84,"")</x:f>
      </x:c>
      <x:c r="F84" s="89" t="str">
        <x:f>IF(B84="","",COUNTIF($B$2:$B$500,"&lt;"&amp;B84)+COUNTIF($B$2:B84,B84))</x:f>
      </x:c>
      <x:c r="G84" s="89" t="str">
        <x:f>IFERROR(INDEX($B$2:$B$500,MATCH(ROWS($G$2:G84),$F$2:$F$500,0)),"")</x:f>
      </x:c>
      <x:c r="H84" s="90" t="str">
        <x:f>IFERROR(INDEX($A$2:$A$500,MATCH(G84,$B$2:$B$500,0)),"")</x:f>
      </x:c>
    </x:row>
    <x:row r="85" ht="22" customHeight="1">
      <x:c r="A85" s="45"/>
      <x:c r="B85" s="42"/>
      <x:c r="C85" s="46"/>
      <x:c r="D85" s="4"/>
      <x:c r="E85" s="47" t="str">
        <x:f>IF(C85="☑ Yes",A85,"")</x:f>
      </x:c>
      <x:c r="F85" s="89" t="str">
        <x:f>IF(B85="","",COUNTIF($B$2:$B$500,"&lt;"&amp;B85)+COUNTIF($B$2:B85,B85))</x:f>
      </x:c>
      <x:c r="G85" s="89" t="str">
        <x:f>IFERROR(INDEX($B$2:$B$500,MATCH(ROWS($G$2:G85),$F$2:$F$500,0)),"")</x:f>
      </x:c>
      <x:c r="H85" s="90" t="str">
        <x:f>IFERROR(INDEX($A$2:$A$500,MATCH(G85,$B$2:$B$500,0)),"")</x:f>
      </x:c>
    </x:row>
    <x:row r="86" ht="22" customHeight="1">
      <x:c r="A86" s="45"/>
      <x:c r="B86" s="42"/>
      <x:c r="C86" s="46"/>
      <x:c r="D86" s="4"/>
      <x:c r="E86" s="47" t="str">
        <x:f>IF(C86="☑ Yes",A86,"")</x:f>
      </x:c>
      <x:c r="F86" s="89" t="str">
        <x:f>IF(B86="","",COUNTIF($B$2:$B$500,"&lt;"&amp;B86)+COUNTIF($B$2:B86,B86))</x:f>
      </x:c>
      <x:c r="G86" s="89" t="str">
        <x:f>IFERROR(INDEX($B$2:$B$500,MATCH(ROWS($G$2:G86),$F$2:$F$500,0)),"")</x:f>
      </x:c>
      <x:c r="H86" s="90" t="str">
        <x:f>IFERROR(INDEX($A$2:$A$500,MATCH(G86,$B$2:$B$500,0)),"")</x:f>
      </x:c>
    </x:row>
    <x:row r="87" ht="22" customHeight="1">
      <x:c r="A87" s="45"/>
      <x:c r="B87" s="42"/>
      <x:c r="C87" s="46"/>
      <x:c r="D87" s="4"/>
      <x:c r="E87" s="47" t="str">
        <x:f>IF(C87="☑ Yes",A87,"")</x:f>
      </x:c>
      <x:c r="F87" s="89" t="str">
        <x:f>IF(B87="","",COUNTIF($B$2:$B$500,"&lt;"&amp;B87)+COUNTIF($B$2:B87,B87))</x:f>
      </x:c>
      <x:c r="G87" s="89" t="str">
        <x:f>IFERROR(INDEX($B$2:$B$500,MATCH(ROWS($G$2:G87),$F$2:$F$500,0)),"")</x:f>
      </x:c>
      <x:c r="H87" s="90" t="str">
        <x:f>IFERROR(INDEX($A$2:$A$500,MATCH(G87,$B$2:$B$500,0)),"")</x:f>
      </x:c>
    </x:row>
    <x:row r="88" ht="22" customHeight="1">
      <x:c r="A88" s="45"/>
      <x:c r="B88" s="42"/>
      <x:c r="C88" s="46"/>
      <x:c r="D88" s="4"/>
      <x:c r="E88" s="47" t="str">
        <x:f>IF(C88="☑ Yes",A88,"")</x:f>
      </x:c>
      <x:c r="F88" s="89" t="str">
        <x:f>IF(B88="","",COUNTIF($B$2:$B$500,"&lt;"&amp;B88)+COUNTIF($B$2:B88,B88))</x:f>
      </x:c>
      <x:c r="G88" s="89" t="str">
        <x:f>IFERROR(INDEX($B$2:$B$500,MATCH(ROWS($G$2:G88),$F$2:$F$500,0)),"")</x:f>
      </x:c>
      <x:c r="H88" s="90" t="str">
        <x:f>IFERROR(INDEX($A$2:$A$500,MATCH(G88,$B$2:$B$500,0)),"")</x:f>
      </x:c>
    </x:row>
    <x:row r="89" ht="22" customHeight="1">
      <x:c r="A89" s="45"/>
      <x:c r="B89" s="42"/>
      <x:c r="C89" s="46"/>
      <x:c r="D89" s="4"/>
      <x:c r="E89" s="47" t="str">
        <x:f>IF(C89="☑ Yes",A89,"")</x:f>
      </x:c>
      <x:c r="F89" s="89" t="str">
        <x:f>IF(B89="","",COUNTIF($B$2:$B$500,"&lt;"&amp;B89)+COUNTIF($B$2:B89,B89))</x:f>
      </x:c>
      <x:c r="G89" s="89" t="str">
        <x:f>IFERROR(INDEX($B$2:$B$500,MATCH(ROWS($G$2:G89),$F$2:$F$500,0)),"")</x:f>
      </x:c>
      <x:c r="H89" s="90" t="str">
        <x:f>IFERROR(INDEX($A$2:$A$500,MATCH(G89,$B$2:$B$500,0)),"")</x:f>
      </x:c>
    </x:row>
    <x:row r="90" ht="22" customHeight="1">
      <x:c r="A90" s="45"/>
      <x:c r="B90" s="42"/>
      <x:c r="C90" s="46"/>
      <x:c r="D90" s="4"/>
      <x:c r="E90" s="47" t="str">
        <x:f>IF(C90="☑ Yes",A90,"")</x:f>
      </x:c>
      <x:c r="F90" s="89" t="str">
        <x:f>IF(B90="","",COUNTIF($B$2:$B$500,"&lt;"&amp;B90)+COUNTIF($B$2:B90,B90))</x:f>
      </x:c>
      <x:c r="G90" s="89" t="str">
        <x:f>IFERROR(INDEX($B$2:$B$500,MATCH(ROWS($G$2:G90),$F$2:$F$500,0)),"")</x:f>
      </x:c>
      <x:c r="H90" s="90" t="str">
        <x:f>IFERROR(INDEX($A$2:$A$500,MATCH(G90,$B$2:$B$500,0)),"")</x:f>
      </x:c>
    </x:row>
    <x:row r="91" ht="22" customHeight="1">
      <x:c r="A91" s="45"/>
      <x:c r="B91" s="42"/>
      <x:c r="C91" s="46"/>
      <x:c r="D91" s="4"/>
      <x:c r="E91" s="47" t="str">
        <x:f>IF(C91="☑ Yes",A91,"")</x:f>
      </x:c>
      <x:c r="F91" s="89" t="str">
        <x:f>IF(B91="","",COUNTIF($B$2:$B$500,"&lt;"&amp;B91)+COUNTIF($B$2:B91,B91))</x:f>
      </x:c>
      <x:c r="G91" s="89" t="str">
        <x:f>IFERROR(INDEX($B$2:$B$500,MATCH(ROWS($G$2:G91),$F$2:$F$500,0)),"")</x:f>
      </x:c>
      <x:c r="H91" s="90" t="str">
        <x:f>IFERROR(INDEX($A$2:$A$500,MATCH(G91,$B$2:$B$500,0)),"")</x:f>
      </x:c>
    </x:row>
    <x:row r="92" ht="22" customHeight="1">
      <x:c r="A92" s="45"/>
      <x:c r="B92" s="42"/>
      <x:c r="C92" s="46"/>
      <x:c r="D92" s="4"/>
      <x:c r="E92" s="47" t="str">
        <x:f>IF(C92="☑ Yes",A92,"")</x:f>
      </x:c>
      <x:c r="F92" s="89" t="str">
        <x:f>IF(B92="","",COUNTIF($B$2:$B$500,"&lt;"&amp;B92)+COUNTIF($B$2:B92,B92))</x:f>
      </x:c>
      <x:c r="G92" s="89" t="str">
        <x:f>IFERROR(INDEX($B$2:$B$500,MATCH(ROWS($G$2:G92),$F$2:$F$500,0)),"")</x:f>
      </x:c>
      <x:c r="H92" s="90" t="str">
        <x:f>IFERROR(INDEX($A$2:$A$500,MATCH(G92,$B$2:$B$500,0)),"")</x:f>
      </x:c>
    </x:row>
    <x:row r="93" ht="22" customHeight="1">
      <x:c r="A93" s="45"/>
      <x:c r="B93" s="42"/>
      <x:c r="C93" s="46"/>
      <x:c r="D93" s="4"/>
      <x:c r="E93" s="47" t="str">
        <x:f>IF(C93="☑ Yes",A93,"")</x:f>
      </x:c>
      <x:c r="F93" s="89" t="str">
        <x:f>IF(B93="","",COUNTIF($B$2:$B$500,"&lt;"&amp;B93)+COUNTIF($B$2:B93,B93))</x:f>
      </x:c>
      <x:c r="G93" s="89" t="str">
        <x:f>IFERROR(INDEX($B$2:$B$500,MATCH(ROWS($G$2:G93),$F$2:$F$500,0)),"")</x:f>
      </x:c>
      <x:c r="H93" s="90" t="str">
        <x:f>IFERROR(INDEX($A$2:$A$500,MATCH(G93,$B$2:$B$500,0)),"")</x:f>
      </x:c>
    </x:row>
    <x:row r="94" ht="22" customHeight="1">
      <x:c r="A94" s="45"/>
      <x:c r="B94" s="42"/>
      <x:c r="C94" s="46"/>
      <x:c r="D94" s="4"/>
      <x:c r="E94" s="47" t="str">
        <x:f>IF(C94="☑ Yes",A94,"")</x:f>
      </x:c>
      <x:c r="F94" s="89" t="str">
        <x:f>IF(B94="","",COUNTIF($B$2:$B$500,"&lt;"&amp;B94)+COUNTIF($B$2:B94,B94))</x:f>
      </x:c>
      <x:c r="G94" s="89" t="str">
        <x:f>IFERROR(INDEX($B$2:$B$500,MATCH(ROWS($G$2:G94),$F$2:$F$500,0)),"")</x:f>
      </x:c>
      <x:c r="H94" s="90" t="str">
        <x:f>IFERROR(INDEX($A$2:$A$500,MATCH(G94,$B$2:$B$500,0)),"")</x:f>
      </x:c>
    </x:row>
    <x:row r="95" ht="22" customHeight="1">
      <x:c r="A95" s="45"/>
      <x:c r="B95" s="42"/>
      <x:c r="C95" s="46"/>
      <x:c r="D95" s="4"/>
      <x:c r="E95" s="47" t="str">
        <x:f>IF(C95="☑ Yes",A95,"")</x:f>
      </x:c>
      <x:c r="F95" s="89" t="str">
        <x:f>IF(B95="","",COUNTIF($B$2:$B$500,"&lt;"&amp;B95)+COUNTIF($B$2:B95,B95))</x:f>
      </x:c>
      <x:c r="G95" s="89" t="str">
        <x:f>IFERROR(INDEX($B$2:$B$500,MATCH(ROWS($G$2:G95),$F$2:$F$500,0)),"")</x:f>
      </x:c>
      <x:c r="H95" s="90" t="str">
        <x:f>IFERROR(INDEX($A$2:$A$500,MATCH(G95,$B$2:$B$500,0)),"")</x:f>
      </x:c>
    </x:row>
    <x:row r="96" ht="22" customHeight="1">
      <x:c r="A96" s="45"/>
      <x:c r="B96" s="42"/>
      <x:c r="C96" s="46"/>
      <x:c r="D96" s="4"/>
      <x:c r="E96" s="47" t="str">
        <x:f>IF(C96="☑ Yes",A96,"")</x:f>
      </x:c>
      <x:c r="F96" s="89" t="str">
        <x:f>IF(B96="","",COUNTIF($B$2:$B$500,"&lt;"&amp;B96)+COUNTIF($B$2:B96,B96))</x:f>
      </x:c>
      <x:c r="G96" s="89" t="str">
        <x:f>IFERROR(INDEX($B$2:$B$500,MATCH(ROWS($G$2:G96),$F$2:$F$500,0)),"")</x:f>
      </x:c>
      <x:c r="H96" s="90" t="str">
        <x:f>IFERROR(INDEX($A$2:$A$500,MATCH(G96,$B$2:$B$500,0)),"")</x:f>
      </x:c>
    </x:row>
    <x:row r="97" ht="22" customHeight="1">
      <x:c r="A97" s="45"/>
      <x:c r="B97" s="42"/>
      <x:c r="C97" s="46"/>
      <x:c r="D97" s="4"/>
      <x:c r="E97" s="47" t="str">
        <x:f>IF(C97="☑ Yes",A97,"")</x:f>
      </x:c>
      <x:c r="F97" s="89" t="str">
        <x:f>IF(B97="","",COUNTIF($B$2:$B$500,"&lt;"&amp;B97)+COUNTIF($B$2:B97,B97))</x:f>
      </x:c>
      <x:c r="G97" s="89" t="str">
        <x:f>IFERROR(INDEX($B$2:$B$500,MATCH(ROWS($G$2:G97),$F$2:$F$500,0)),"")</x:f>
      </x:c>
      <x:c r="H97" s="90" t="str">
        <x:f>IFERROR(INDEX($A$2:$A$500,MATCH(G97,$B$2:$B$500,0)),"")</x:f>
      </x:c>
    </x:row>
    <x:row r="98" ht="22" customHeight="1">
      <x:c r="A98" s="45"/>
      <x:c r="B98" s="42"/>
      <x:c r="C98" s="46"/>
      <x:c r="D98" s="4"/>
      <x:c r="E98" s="47" t="str">
        <x:f>IF(C98="☑ Yes",A98,"")</x:f>
      </x:c>
      <x:c r="F98" s="89" t="str">
        <x:f>IF(B98="","",COUNTIF($B$2:$B$500,"&lt;"&amp;B98)+COUNTIF($B$2:B98,B98))</x:f>
      </x:c>
      <x:c r="G98" s="89" t="str">
        <x:f>IFERROR(INDEX($B$2:$B$500,MATCH(ROWS($G$2:G98),$F$2:$F$500,0)),"")</x:f>
      </x:c>
      <x:c r="H98" s="90" t="str">
        <x:f>IFERROR(INDEX($A$2:$A$500,MATCH(G98,$B$2:$B$500,0)),"")</x:f>
      </x:c>
    </x:row>
    <x:row r="99" ht="22" customHeight="1">
      <x:c r="A99" s="45"/>
      <x:c r="B99" s="42"/>
      <x:c r="C99" s="46"/>
      <x:c r="D99" s="4"/>
      <x:c r="E99" s="47" t="str">
        <x:f>IF(C99="☑ Yes",A99,"")</x:f>
      </x:c>
      <x:c r="F99" s="89" t="str">
        <x:f>IF(B99="","",COUNTIF($B$2:$B$500,"&lt;"&amp;B99)+COUNTIF($B$2:B99,B99))</x:f>
      </x:c>
      <x:c r="G99" s="89" t="str">
        <x:f>IFERROR(INDEX($B$2:$B$500,MATCH(ROWS($G$2:G99),$F$2:$F$500,0)),"")</x:f>
      </x:c>
      <x:c r="H99" s="90" t="str">
        <x:f>IFERROR(INDEX($A$2:$A$500,MATCH(G99,$B$2:$B$500,0)),"")</x:f>
      </x:c>
    </x:row>
    <x:row r="100" ht="22" customHeight="1">
      <x:c r="A100" s="45"/>
      <x:c r="B100" s="42"/>
      <x:c r="C100" s="46"/>
      <x:c r="D100" s="4"/>
      <x:c r="E100" s="47" t="str">
        <x:f>IF(C100="☑ Yes",A100,"")</x:f>
      </x:c>
      <x:c r="F100" s="89" t="str">
        <x:f>IF(B100="","",COUNTIF($B$2:$B$500,"&lt;"&amp;B100)+COUNTIF($B$2:B100,B100))</x:f>
      </x:c>
      <x:c r="G100" s="89" t="str">
        <x:f>IFERROR(INDEX($B$2:$B$500,MATCH(ROWS($G$2:G100),$F$2:$F$500,0)),"")</x:f>
      </x:c>
      <x:c r="H100" s="90" t="str">
        <x:f>IFERROR(INDEX($A$2:$A$500,MATCH(G100,$B$2:$B$500,0)),"")</x:f>
      </x:c>
    </x:row>
    <x:row r="101" ht="22" customHeight="1">
      <x:c r="A101" s="45"/>
      <x:c r="B101" s="42"/>
      <x:c r="C101" s="46"/>
      <x:c r="D101" s="4"/>
      <x:c r="E101" s="47" t="str">
        <x:f>IF(C101="☑ Yes",A101,"")</x:f>
      </x:c>
      <x:c r="F101" s="89" t="str">
        <x:f>IF(B101="","",COUNTIF($B$2:$B$500,"&lt;"&amp;B101)+COUNTIF($B$2:B101,B101))</x:f>
      </x:c>
      <x:c r="G101" s="89" t="str">
        <x:f>IFERROR(INDEX($B$2:$B$500,MATCH(ROWS($G$2:G101),$F$2:$F$500,0)),"")</x:f>
      </x:c>
      <x:c r="H101" s="90" t="str">
        <x:f>IFERROR(INDEX($A$2:$A$500,MATCH(G101,$B$2:$B$500,0)),"")</x:f>
      </x:c>
    </x:row>
    <x:row r="102" ht="22" customHeight="1">
      <x:c r="A102" s="45"/>
      <x:c r="B102" s="42"/>
      <x:c r="C102" s="46"/>
      <x:c r="D102" s="4"/>
      <x:c r="E102" s="47" t="str">
        <x:f>IF(C102="☑ Yes",A102,"")</x:f>
      </x:c>
      <x:c r="F102" s="89" t="str">
        <x:f>IF(B102="","",COUNTIF($B$2:$B$500,"&lt;"&amp;B102)+COUNTIF($B$2:B102,B102))</x:f>
      </x:c>
      <x:c r="G102" s="89" t="str">
        <x:f>IFERROR(INDEX($B$2:$B$500,MATCH(ROWS($G$2:G102),$F$2:$F$500,0)),"")</x:f>
      </x:c>
      <x:c r="H102" s="90" t="str">
        <x:f>IFERROR(INDEX($A$2:$A$500,MATCH(G102,$B$2:$B$500,0)),"")</x:f>
      </x:c>
    </x:row>
    <x:row r="103" ht="22" customHeight="1">
      <x:c r="A103" s="45"/>
      <x:c r="B103" s="42"/>
      <x:c r="C103" s="46"/>
      <x:c r="D103" s="4"/>
      <x:c r="E103" s="47" t="str">
        <x:f>IF(C103="☑ Yes",A103,"")</x:f>
      </x:c>
      <x:c r="F103" s="89" t="str">
        <x:f>IF(B103="","",COUNTIF($B$2:$B$500,"&lt;"&amp;B103)+COUNTIF($B$2:B103,B103))</x:f>
      </x:c>
      <x:c r="G103" s="89" t="str">
        <x:f>IFERROR(INDEX($B$2:$B$500,MATCH(ROWS($G$2:G103),$F$2:$F$500,0)),"")</x:f>
      </x:c>
      <x:c r="H103" s="90" t="str">
        <x:f>IFERROR(INDEX($A$2:$A$500,MATCH(G103,$B$2:$B$500,0)),"")</x:f>
      </x:c>
    </x:row>
    <x:row r="104" ht="22" customHeight="1">
      <x:c r="A104" s="45"/>
      <x:c r="B104" s="42"/>
      <x:c r="C104" s="46"/>
      <x:c r="D104" s="4"/>
      <x:c r="E104" s="47" t="str">
        <x:f>IF(C104="☑ Yes",A104,"")</x:f>
      </x:c>
      <x:c r="F104" s="89" t="str">
        <x:f>IF(B104="","",COUNTIF($B$2:$B$500,"&lt;"&amp;B104)+COUNTIF($B$2:B104,B104))</x:f>
      </x:c>
      <x:c r="G104" s="89" t="str">
        <x:f>IFERROR(INDEX($B$2:$B$500,MATCH(ROWS($G$2:G104),$F$2:$F$500,0)),"")</x:f>
      </x:c>
      <x:c r="H104" s="90" t="str">
        <x:f>IFERROR(INDEX($A$2:$A$500,MATCH(G104,$B$2:$B$500,0)),"")</x:f>
      </x:c>
    </x:row>
    <x:row r="105" ht="22" customHeight="1">
      <x:c r="A105" s="45"/>
      <x:c r="B105" s="42"/>
      <x:c r="C105" s="46"/>
      <x:c r="D105" s="4"/>
      <x:c r="E105" s="47" t="str">
        <x:f>IF(C105="☑ Yes",A105,"")</x:f>
      </x:c>
      <x:c r="F105" s="89" t="str">
        <x:f>IF(B105="","",COUNTIF($B$2:$B$500,"&lt;"&amp;B105)+COUNTIF($B$2:B105,B105))</x:f>
      </x:c>
      <x:c r="G105" s="89" t="str">
        <x:f>IFERROR(INDEX($B$2:$B$500,MATCH(ROWS($G$2:G105),$F$2:$F$500,0)),"")</x:f>
      </x:c>
      <x:c r="H105" s="90" t="str">
        <x:f>IFERROR(INDEX($A$2:$A$500,MATCH(G105,$B$2:$B$500,0)),"")</x:f>
      </x:c>
    </x:row>
    <x:row r="106" ht="22" customHeight="1">
      <x:c r="A106" s="45"/>
      <x:c r="B106" s="42"/>
      <x:c r="C106" s="46"/>
      <x:c r="D106" s="4"/>
      <x:c r="E106" s="47" t="str">
        <x:f>IF(C106="☑ Yes",A106,"")</x:f>
      </x:c>
      <x:c r="F106" s="89" t="str">
        <x:f>IF(B106="","",COUNTIF($B$2:$B$500,"&lt;"&amp;B106)+COUNTIF($B$2:B106,B106))</x:f>
      </x:c>
      <x:c r="G106" s="89" t="str">
        <x:f>IFERROR(INDEX($B$2:$B$500,MATCH(ROWS($G$2:G106),$F$2:$F$500,0)),"")</x:f>
      </x:c>
      <x:c r="H106" s="90" t="str">
        <x:f>IFERROR(INDEX($A$2:$A$500,MATCH(G106,$B$2:$B$500,0)),"")</x:f>
      </x:c>
    </x:row>
    <x:row r="107" ht="22" customHeight="1">
      <x:c r="A107" s="45"/>
      <x:c r="B107" s="42"/>
      <x:c r="C107" s="46"/>
      <x:c r="D107" s="4"/>
      <x:c r="E107" s="47" t="str">
        <x:f>IF(C107="☑ Yes",A107,"")</x:f>
      </x:c>
      <x:c r="F107" s="89" t="str">
        <x:f>IF(B107="","",COUNTIF($B$2:$B$500,"&lt;"&amp;B107)+COUNTIF($B$2:B107,B107))</x:f>
      </x:c>
      <x:c r="G107" s="89" t="str">
        <x:f>IFERROR(INDEX($B$2:$B$500,MATCH(ROWS($G$2:G107),$F$2:$F$500,0)),"")</x:f>
      </x:c>
      <x:c r="H107" s="90" t="str">
        <x:f>IFERROR(INDEX($A$2:$A$500,MATCH(G107,$B$2:$B$500,0)),"")</x:f>
      </x:c>
    </x:row>
    <x:row r="108" ht="22" customHeight="1">
      <x:c r="A108" s="45"/>
      <x:c r="B108" s="42"/>
      <x:c r="C108" s="46"/>
      <x:c r="D108" s="4"/>
      <x:c r="E108" s="47" t="str">
        <x:f>IF(C108="☑ Yes",A108,"")</x:f>
      </x:c>
      <x:c r="F108" s="89" t="str">
        <x:f>IF(B108="","",COUNTIF($B$2:$B$500,"&lt;"&amp;B108)+COUNTIF($B$2:B108,B108))</x:f>
      </x:c>
      <x:c r="G108" s="89" t="str">
        <x:f>IFERROR(INDEX($B$2:$B$500,MATCH(ROWS($G$2:G108),$F$2:$F$500,0)),"")</x:f>
      </x:c>
      <x:c r="H108" s="90" t="str">
        <x:f>IFERROR(INDEX($A$2:$A$500,MATCH(G108,$B$2:$B$500,0)),"")</x:f>
      </x:c>
    </x:row>
    <x:row r="109" ht="22" customHeight="1">
      <x:c r="A109" s="45"/>
      <x:c r="B109" s="42"/>
      <x:c r="C109" s="46"/>
      <x:c r="D109" s="4"/>
      <x:c r="E109" s="47" t="str">
        <x:f>IF(C109="☑ Yes",A109,"")</x:f>
      </x:c>
      <x:c r="F109" s="89" t="str">
        <x:f>IF(B109="","",COUNTIF($B$2:$B$500,"&lt;"&amp;B109)+COUNTIF($B$2:B109,B109))</x:f>
      </x:c>
      <x:c r="G109" s="89" t="str">
        <x:f>IFERROR(INDEX($B$2:$B$500,MATCH(ROWS($G$2:G109),$F$2:$F$500,0)),"")</x:f>
      </x:c>
      <x:c r="H109" s="90" t="str">
        <x:f>IFERROR(INDEX($A$2:$A$500,MATCH(G109,$B$2:$B$500,0)),"")</x:f>
      </x:c>
    </x:row>
    <x:row r="110" ht="22" customHeight="1">
      <x:c r="A110" s="45"/>
      <x:c r="B110" s="42"/>
      <x:c r="C110" s="46"/>
      <x:c r="D110" s="4"/>
      <x:c r="E110" s="47" t="str">
        <x:f>IF(C110="☑ Yes",A110,"")</x:f>
      </x:c>
      <x:c r="F110" s="89" t="str">
        <x:f>IF(B110="","",COUNTIF($B$2:$B$500,"&lt;"&amp;B110)+COUNTIF($B$2:B110,B110))</x:f>
      </x:c>
      <x:c r="G110" s="89" t="str">
        <x:f>IFERROR(INDEX($B$2:$B$500,MATCH(ROWS($G$2:G110),$F$2:$F$500,0)),"")</x:f>
      </x:c>
      <x:c r="H110" s="90" t="str">
        <x:f>IFERROR(INDEX($A$2:$A$500,MATCH(G110,$B$2:$B$500,0)),"")</x:f>
      </x:c>
    </x:row>
    <x:row r="111" ht="22" customHeight="1">
      <x:c r="A111" s="45"/>
      <x:c r="B111" s="42"/>
      <x:c r="C111" s="46"/>
      <x:c r="D111" s="4"/>
      <x:c r="E111" s="47" t="str">
        <x:f>IF(C111="☑ Yes",A111,"")</x:f>
      </x:c>
      <x:c r="F111" s="89" t="str">
        <x:f>IF(B111="","",COUNTIF($B$2:$B$500,"&lt;"&amp;B111)+COUNTIF($B$2:B111,B111))</x:f>
      </x:c>
      <x:c r="G111" s="89" t="str">
        <x:f>IFERROR(INDEX($B$2:$B$500,MATCH(ROWS($G$2:G111),$F$2:$F$500,0)),"")</x:f>
      </x:c>
      <x:c r="H111" s="90" t="str">
        <x:f>IFERROR(INDEX($A$2:$A$500,MATCH(G111,$B$2:$B$500,0)),"")</x:f>
      </x:c>
    </x:row>
    <x:row r="112" ht="22" customHeight="1">
      <x:c r="A112" s="45"/>
      <x:c r="B112" s="42"/>
      <x:c r="C112" s="46"/>
      <x:c r="D112" s="4"/>
      <x:c r="E112" s="47" t="str">
        <x:f>IF(C112="☑ Yes",A112,"")</x:f>
      </x:c>
      <x:c r="F112" s="89" t="str">
        <x:f>IF(B112="","",COUNTIF($B$2:$B$500,"&lt;"&amp;B112)+COUNTIF($B$2:B112,B112))</x:f>
      </x:c>
      <x:c r="G112" s="89" t="str">
        <x:f>IFERROR(INDEX($B$2:$B$500,MATCH(ROWS($G$2:G112),$F$2:$F$500,0)),"")</x:f>
      </x:c>
      <x:c r="H112" s="90" t="str">
        <x:f>IFERROR(INDEX($A$2:$A$500,MATCH(G112,$B$2:$B$500,0)),"")</x:f>
      </x:c>
    </x:row>
    <x:row r="113" ht="22" customHeight="1">
      <x:c r="A113" s="45"/>
      <x:c r="B113" s="42"/>
      <x:c r="C113" s="46"/>
      <x:c r="D113" s="4"/>
      <x:c r="E113" s="47" t="str">
        <x:f>IF(C113="☑ Yes",A113,"")</x:f>
      </x:c>
      <x:c r="F113" s="89" t="str">
        <x:f>IF(B113="","",COUNTIF($B$2:$B$500,"&lt;"&amp;B113)+COUNTIF($B$2:B113,B113))</x:f>
      </x:c>
      <x:c r="G113" s="89" t="str">
        <x:f>IFERROR(INDEX($B$2:$B$500,MATCH(ROWS($G$2:G113),$F$2:$F$500,0)),"")</x:f>
      </x:c>
      <x:c r="H113" s="90" t="str">
        <x:f>IFERROR(INDEX($A$2:$A$500,MATCH(G113,$B$2:$B$500,0)),"")</x:f>
      </x:c>
    </x:row>
    <x:row r="114" ht="22" customHeight="1">
      <x:c r="A114" s="45"/>
      <x:c r="B114" s="42"/>
      <x:c r="C114" s="46"/>
      <x:c r="D114" s="4"/>
      <x:c r="E114" s="47" t="str">
        <x:f>IF(C114="☑ Yes",A114,"")</x:f>
      </x:c>
      <x:c r="F114" s="89" t="str">
        <x:f>IF(B114="","",COUNTIF($B$2:$B$500,"&lt;"&amp;B114)+COUNTIF($B$2:B114,B114))</x:f>
      </x:c>
      <x:c r="G114" s="89" t="str">
        <x:f>IFERROR(INDEX($B$2:$B$500,MATCH(ROWS($G$2:G114),$F$2:$F$500,0)),"")</x:f>
      </x:c>
      <x:c r="H114" s="90" t="str">
        <x:f>IFERROR(INDEX($A$2:$A$500,MATCH(G114,$B$2:$B$500,0)),"")</x:f>
      </x:c>
    </x:row>
    <x:row r="115" ht="22" customHeight="1">
      <x:c r="A115" s="45"/>
      <x:c r="B115" s="42"/>
      <x:c r="C115" s="46"/>
      <x:c r="D115" s="4"/>
      <x:c r="E115" s="47" t="str">
        <x:f>IF(C115="☑ Yes",A115,"")</x:f>
      </x:c>
      <x:c r="F115" s="89" t="str">
        <x:f>IF(B115="","",COUNTIF($B$2:$B$500,"&lt;"&amp;B115)+COUNTIF($B$2:B115,B115))</x:f>
      </x:c>
      <x:c r="G115" s="89" t="str">
        <x:f>IFERROR(INDEX($B$2:$B$500,MATCH(ROWS($G$2:G115),$F$2:$F$500,0)),"")</x:f>
      </x:c>
      <x:c r="H115" s="90" t="str">
        <x:f>IFERROR(INDEX($A$2:$A$500,MATCH(G115,$B$2:$B$500,0)),"")</x:f>
      </x:c>
    </x:row>
    <x:row r="116" ht="22" customHeight="1">
      <x:c r="A116" s="45"/>
      <x:c r="B116" s="42"/>
      <x:c r="C116" s="46"/>
      <x:c r="D116" s="4"/>
      <x:c r="E116" s="47" t="str">
        <x:f>IF(C116="☑ Yes",A116,"")</x:f>
      </x:c>
      <x:c r="F116" s="89" t="str">
        <x:f>IF(B116="","",COUNTIF($B$2:$B$500,"&lt;"&amp;B116)+COUNTIF($B$2:B116,B116))</x:f>
      </x:c>
      <x:c r="G116" s="89" t="str">
        <x:f>IFERROR(INDEX($B$2:$B$500,MATCH(ROWS($G$2:G116),$F$2:$F$500,0)),"")</x:f>
      </x:c>
      <x:c r="H116" s="90" t="str">
        <x:f>IFERROR(INDEX($A$2:$A$500,MATCH(G116,$B$2:$B$500,0)),"")</x:f>
      </x:c>
    </x:row>
    <x:row r="117" ht="22" customHeight="1">
      <x:c r="A117" s="45"/>
      <x:c r="B117" s="42"/>
      <x:c r="C117" s="46"/>
      <x:c r="D117" s="4"/>
      <x:c r="E117" s="47" t="str">
        <x:f>IF(C117="☑ Yes",A117,"")</x:f>
      </x:c>
      <x:c r="F117" s="89" t="str">
        <x:f>IF(B117="","",COUNTIF($B$2:$B$500,"&lt;"&amp;B117)+COUNTIF($B$2:B117,B117))</x:f>
      </x:c>
      <x:c r="G117" s="89" t="str">
        <x:f>IFERROR(INDEX($B$2:$B$500,MATCH(ROWS($G$2:G117),$F$2:$F$500,0)),"")</x:f>
      </x:c>
      <x:c r="H117" s="90" t="str">
        <x:f>IFERROR(INDEX($A$2:$A$500,MATCH(G117,$B$2:$B$500,0)),"")</x:f>
      </x:c>
    </x:row>
    <x:row r="118" ht="22" customHeight="1">
      <x:c r="A118" s="45"/>
      <x:c r="B118" s="42"/>
      <x:c r="C118" s="46"/>
      <x:c r="D118" s="4"/>
      <x:c r="E118" s="47" t="str">
        <x:f>IF(C118="☑ Yes",A118,"")</x:f>
      </x:c>
      <x:c r="F118" s="89" t="str">
        <x:f>IF(B118="","",COUNTIF($B$2:$B$500,"&lt;"&amp;B118)+COUNTIF($B$2:B118,B118))</x:f>
      </x:c>
      <x:c r="G118" s="89" t="str">
        <x:f>IFERROR(INDEX($B$2:$B$500,MATCH(ROWS($G$2:G118),$F$2:$F$500,0)),"")</x:f>
      </x:c>
      <x:c r="H118" s="90" t="str">
        <x:f>IFERROR(INDEX($A$2:$A$500,MATCH(G118,$B$2:$B$500,0)),"")</x:f>
      </x:c>
    </x:row>
    <x:row r="119" ht="22" customHeight="1">
      <x:c r="A119" s="45"/>
      <x:c r="B119" s="42"/>
      <x:c r="C119" s="46"/>
      <x:c r="D119" s="4"/>
      <x:c r="E119" s="47" t="str">
        <x:f>IF(C119="☑ Yes",A119,"")</x:f>
      </x:c>
      <x:c r="F119" s="89" t="str">
        <x:f>IF(B119="","",COUNTIF($B$2:$B$500,"&lt;"&amp;B119)+COUNTIF($B$2:B119,B119))</x:f>
      </x:c>
      <x:c r="G119" s="89" t="str">
        <x:f>IFERROR(INDEX($B$2:$B$500,MATCH(ROWS($G$2:G119),$F$2:$F$500,0)),"")</x:f>
      </x:c>
      <x:c r="H119" s="90" t="str">
        <x:f>IFERROR(INDEX($A$2:$A$500,MATCH(G119,$B$2:$B$500,0)),"")</x:f>
      </x:c>
    </x:row>
    <x:row r="120" ht="22" customHeight="1">
      <x:c r="A120" s="45"/>
      <x:c r="B120" s="42"/>
      <x:c r="C120" s="46"/>
      <x:c r="D120" s="4"/>
      <x:c r="E120" s="47" t="str">
        <x:f>IF(C120="☑ Yes",A120,"")</x:f>
      </x:c>
      <x:c r="F120" s="89" t="str">
        <x:f>IF(B120="","",COUNTIF($B$2:$B$500,"&lt;"&amp;B120)+COUNTIF($B$2:B120,B120))</x:f>
      </x:c>
      <x:c r="G120" s="89" t="str">
        <x:f>IFERROR(INDEX($B$2:$B$500,MATCH(ROWS($G$2:G120),$F$2:$F$500,0)),"")</x:f>
      </x:c>
      <x:c r="H120" s="90" t="str">
        <x:f>IFERROR(INDEX($A$2:$A$500,MATCH(G120,$B$2:$B$500,0)),"")</x:f>
      </x:c>
    </x:row>
    <x:row r="121" ht="22" customHeight="1">
      <x:c r="A121" s="45"/>
      <x:c r="B121" s="42"/>
      <x:c r="C121" s="46"/>
      <x:c r="D121" s="4"/>
      <x:c r="E121" s="47" t="str">
        <x:f>IF(C121="☑ Yes",A121,"")</x:f>
      </x:c>
      <x:c r="F121" s="89" t="str">
        <x:f>IF(B121="","",COUNTIF($B$2:$B$500,"&lt;"&amp;B121)+COUNTIF($B$2:B121,B121))</x:f>
      </x:c>
      <x:c r="G121" s="89" t="str">
        <x:f>IFERROR(INDEX($B$2:$B$500,MATCH(ROWS($G$2:G121),$F$2:$F$500,0)),"")</x:f>
      </x:c>
      <x:c r="H121" s="90" t="str">
        <x:f>IFERROR(INDEX($A$2:$A$500,MATCH(G121,$B$2:$B$500,0)),"")</x:f>
      </x:c>
    </x:row>
    <x:row r="122" ht="22" customHeight="1">
      <x:c r="A122" s="45"/>
      <x:c r="B122" s="42"/>
      <x:c r="C122" s="46"/>
      <x:c r="D122" s="4"/>
      <x:c r="E122" s="47" t="str">
        <x:f>IF(C122="☑ Yes",A122,"")</x:f>
      </x:c>
      <x:c r="F122" s="89" t="str">
        <x:f>IF(B122="","",COUNTIF($B$2:$B$500,"&lt;"&amp;B122)+COUNTIF($B$2:B122,B122))</x:f>
      </x:c>
      <x:c r="G122" s="89" t="str">
        <x:f>IFERROR(INDEX($B$2:$B$500,MATCH(ROWS($G$2:G122),$F$2:$F$500,0)),"")</x:f>
      </x:c>
      <x:c r="H122" s="90" t="str">
        <x:f>IFERROR(INDEX($A$2:$A$500,MATCH(G122,$B$2:$B$500,0)),"")</x:f>
      </x:c>
    </x:row>
    <x:row r="123" ht="22" customHeight="1">
      <x:c r="A123" s="45"/>
      <x:c r="B123" s="42"/>
      <x:c r="C123" s="46"/>
      <x:c r="D123" s="4"/>
      <x:c r="E123" s="47" t="str">
        <x:f>IF(C123="☑ Yes",A123,"")</x:f>
      </x:c>
      <x:c r="F123" s="89" t="str">
        <x:f>IF(B123="","",COUNTIF($B$2:$B$500,"&lt;"&amp;B123)+COUNTIF($B$2:B123,B123))</x:f>
      </x:c>
      <x:c r="G123" s="89" t="str">
        <x:f>IFERROR(INDEX($B$2:$B$500,MATCH(ROWS($G$2:G123),$F$2:$F$500,0)),"")</x:f>
      </x:c>
      <x:c r="H123" s="90" t="str">
        <x:f>IFERROR(INDEX($A$2:$A$500,MATCH(G123,$B$2:$B$500,0)),"")</x:f>
      </x:c>
    </x:row>
    <x:row r="124" ht="22" customHeight="1">
      <x:c r="A124" s="45"/>
      <x:c r="B124" s="42"/>
      <x:c r="C124" s="46"/>
      <x:c r="D124" s="4"/>
      <x:c r="E124" s="47" t="str">
        <x:f>IF(C124="☑ Yes",A124,"")</x:f>
      </x:c>
      <x:c r="F124" s="89" t="str">
        <x:f>IF(B124="","",COUNTIF($B$2:$B$500,"&lt;"&amp;B124)+COUNTIF($B$2:B124,B124))</x:f>
      </x:c>
      <x:c r="G124" s="89" t="str">
        <x:f>IFERROR(INDEX($B$2:$B$500,MATCH(ROWS($G$2:G124),$F$2:$F$500,0)),"")</x:f>
      </x:c>
      <x:c r="H124" s="90" t="str">
        <x:f>IFERROR(INDEX($A$2:$A$500,MATCH(G124,$B$2:$B$500,0)),"")</x:f>
      </x:c>
    </x:row>
    <x:row r="125" ht="22" customHeight="1">
      <x:c r="A125" s="45"/>
      <x:c r="B125" s="42"/>
      <x:c r="C125" s="46"/>
      <x:c r="D125" s="4"/>
      <x:c r="E125" s="47" t="str">
        <x:f>IF(C125="☑ Yes",A125,"")</x:f>
      </x:c>
      <x:c r="F125" s="89" t="str">
        <x:f>IF(B125="","",COUNTIF($B$2:$B$500,"&lt;"&amp;B125)+COUNTIF($B$2:B125,B125))</x:f>
      </x:c>
      <x:c r="G125" s="89" t="str">
        <x:f>IFERROR(INDEX($B$2:$B$500,MATCH(ROWS($G$2:G125),$F$2:$F$500,0)),"")</x:f>
      </x:c>
      <x:c r="H125" s="90" t="str">
        <x:f>IFERROR(INDEX($A$2:$A$500,MATCH(G125,$B$2:$B$500,0)),"")</x:f>
      </x:c>
    </x:row>
    <x:row r="126" ht="22" customHeight="1">
      <x:c r="A126" s="45"/>
      <x:c r="B126" s="42"/>
      <x:c r="C126" s="46"/>
      <x:c r="D126" s="4"/>
      <x:c r="E126" s="47" t="str">
        <x:f>IF(C126="☑ Yes",A126,"")</x:f>
      </x:c>
      <x:c r="F126" s="89" t="str">
        <x:f>IF(B126="","",COUNTIF($B$2:$B$500,"&lt;"&amp;B126)+COUNTIF($B$2:B126,B126))</x:f>
      </x:c>
      <x:c r="G126" s="89" t="str">
        <x:f>IFERROR(INDEX($B$2:$B$500,MATCH(ROWS($G$2:G126),$F$2:$F$500,0)),"")</x:f>
      </x:c>
      <x:c r="H126" s="90" t="str">
        <x:f>IFERROR(INDEX($A$2:$A$500,MATCH(G126,$B$2:$B$500,0)),"")</x:f>
      </x:c>
    </x:row>
    <x:row r="127" ht="22" customHeight="1">
      <x:c r="A127" s="45"/>
      <x:c r="B127" s="42"/>
      <x:c r="C127" s="46"/>
      <x:c r="D127" s="4"/>
      <x:c r="E127" s="47" t="str">
        <x:f>IF(C127="☑ Yes",A127,"")</x:f>
      </x:c>
      <x:c r="F127" s="89" t="str">
        <x:f>IF(B127="","",COUNTIF($B$2:$B$500,"&lt;"&amp;B127)+COUNTIF($B$2:B127,B127))</x:f>
      </x:c>
      <x:c r="G127" s="89" t="str">
        <x:f>IFERROR(INDEX($B$2:$B$500,MATCH(ROWS($G$2:G127),$F$2:$F$500,0)),"")</x:f>
      </x:c>
      <x:c r="H127" s="90" t="str">
        <x:f>IFERROR(INDEX($A$2:$A$500,MATCH(G127,$B$2:$B$500,0)),"")</x:f>
      </x:c>
    </x:row>
    <x:row r="128" ht="22" customHeight="1">
      <x:c r="A128" s="45"/>
      <x:c r="B128" s="42"/>
      <x:c r="C128" s="46"/>
      <x:c r="D128" s="4"/>
      <x:c r="E128" s="47" t="str">
        <x:f>IF(C128="☑ Yes",A128,"")</x:f>
      </x:c>
      <x:c r="F128" s="89" t="str">
        <x:f>IF(B128="","",COUNTIF($B$2:$B$500,"&lt;"&amp;B128)+COUNTIF($B$2:B128,B128))</x:f>
      </x:c>
      <x:c r="G128" s="89" t="str">
        <x:f>IFERROR(INDEX($B$2:$B$500,MATCH(ROWS($G$2:G128),$F$2:$F$500,0)),"")</x:f>
      </x:c>
      <x:c r="H128" s="90" t="str">
        <x:f>IFERROR(INDEX($A$2:$A$500,MATCH(G128,$B$2:$B$500,0)),"")</x:f>
      </x:c>
    </x:row>
    <x:row r="129" ht="22" customHeight="1">
      <x:c r="A129" s="45"/>
      <x:c r="B129" s="42"/>
      <x:c r="C129" s="46"/>
      <x:c r="D129" s="4"/>
      <x:c r="E129" s="47" t="str">
        <x:f>IF(C129="☑ Yes",A129,"")</x:f>
      </x:c>
      <x:c r="F129" s="89" t="str">
        <x:f>IF(B129="","",COUNTIF($B$2:$B$500,"&lt;"&amp;B129)+COUNTIF($B$2:B129,B129))</x:f>
      </x:c>
      <x:c r="G129" s="89" t="str">
        <x:f>IFERROR(INDEX($B$2:$B$500,MATCH(ROWS($G$2:G129),$F$2:$F$500,0)),"")</x:f>
      </x:c>
      <x:c r="H129" s="90" t="str">
        <x:f>IFERROR(INDEX($A$2:$A$500,MATCH(G129,$B$2:$B$500,0)),"")</x:f>
      </x:c>
    </x:row>
    <x:row r="130" ht="22" customHeight="1">
      <x:c r="A130" s="45"/>
      <x:c r="B130" s="42"/>
      <x:c r="C130" s="46"/>
      <x:c r="D130" s="4"/>
      <x:c r="E130" s="47" t="str">
        <x:f>IF(C130="☑ Yes",A130,"")</x:f>
      </x:c>
      <x:c r="F130" s="89" t="str">
        <x:f>IF(B130="","",COUNTIF($B$2:$B$500,"&lt;"&amp;B130)+COUNTIF($B$2:B130,B130))</x:f>
      </x:c>
      <x:c r="G130" s="89" t="str">
        <x:f>IFERROR(INDEX($B$2:$B$500,MATCH(ROWS($G$2:G130),$F$2:$F$500,0)),"")</x:f>
      </x:c>
      <x:c r="H130" s="90" t="str">
        <x:f>IFERROR(INDEX($A$2:$A$500,MATCH(G130,$B$2:$B$500,0)),"")</x:f>
      </x:c>
    </x:row>
    <x:row r="131" ht="22" customHeight="1">
      <x:c r="A131" s="45"/>
      <x:c r="B131" s="42"/>
      <x:c r="C131" s="46"/>
      <x:c r="D131" s="4"/>
      <x:c r="E131" s="47" t="str">
        <x:f>IF(C131="☑ Yes",A131,"")</x:f>
      </x:c>
      <x:c r="F131" s="89" t="str">
        <x:f>IF(B131="","",COUNTIF($B$2:$B$500,"&lt;"&amp;B131)+COUNTIF($B$2:B131,B131))</x:f>
      </x:c>
      <x:c r="G131" s="89" t="str">
        <x:f>IFERROR(INDEX($B$2:$B$500,MATCH(ROWS($G$2:G131),$F$2:$F$500,0)),"")</x:f>
      </x:c>
      <x:c r="H131" s="90" t="str">
        <x:f>IFERROR(INDEX($A$2:$A$500,MATCH(G131,$B$2:$B$500,0)),"")</x:f>
      </x:c>
    </x:row>
    <x:row r="132" ht="22" customHeight="1">
      <x:c r="A132" s="45"/>
      <x:c r="B132" s="42"/>
      <x:c r="C132" s="46"/>
      <x:c r="D132" s="4"/>
      <x:c r="E132" s="47" t="str">
        <x:f>IF(C132="☑ Yes",A132,"")</x:f>
      </x:c>
      <x:c r="F132" s="89" t="str">
        <x:f>IF(B132="","",COUNTIF($B$2:$B$500,"&lt;"&amp;B132)+COUNTIF($B$2:B132,B132))</x:f>
      </x:c>
      <x:c r="G132" s="89" t="str">
        <x:f>IFERROR(INDEX($B$2:$B$500,MATCH(ROWS($G$2:G132),$F$2:$F$500,0)),"")</x:f>
      </x:c>
      <x:c r="H132" s="90" t="str">
        <x:f>IFERROR(INDEX($A$2:$A$500,MATCH(G132,$B$2:$B$500,0)),"")</x:f>
      </x:c>
    </x:row>
    <x:row r="133" ht="22" customHeight="1">
      <x:c r="A133" s="45"/>
      <x:c r="B133" s="42"/>
      <x:c r="C133" s="46"/>
      <x:c r="D133" s="4"/>
      <x:c r="E133" s="47" t="str">
        <x:f>IF(C133="☑ Yes",A133,"")</x:f>
      </x:c>
      <x:c r="F133" s="89" t="str">
        <x:f>IF(B133="","",COUNTIF($B$2:$B$500,"&lt;"&amp;B133)+COUNTIF($B$2:B133,B133))</x:f>
      </x:c>
      <x:c r="G133" s="89" t="str">
        <x:f>IFERROR(INDEX($B$2:$B$500,MATCH(ROWS($G$2:G133),$F$2:$F$500,0)),"")</x:f>
      </x:c>
      <x:c r="H133" s="90" t="str">
        <x:f>IFERROR(INDEX($A$2:$A$500,MATCH(G133,$B$2:$B$500,0)),"")</x:f>
      </x:c>
    </x:row>
    <x:row r="134" ht="22" customHeight="1">
      <x:c r="A134" s="45"/>
      <x:c r="B134" s="42"/>
      <x:c r="C134" s="46"/>
      <x:c r="D134" s="4"/>
      <x:c r="E134" s="47" t="str">
        <x:f>IF(C134="☑ Yes",A134,"")</x:f>
      </x:c>
      <x:c r="F134" s="89" t="str">
        <x:f>IF(B134="","",COUNTIF($B$2:$B$500,"&lt;"&amp;B134)+COUNTIF($B$2:B134,B134))</x:f>
      </x:c>
      <x:c r="G134" s="89" t="str">
        <x:f>IFERROR(INDEX($B$2:$B$500,MATCH(ROWS($G$2:G134),$F$2:$F$500,0)),"")</x:f>
      </x:c>
      <x:c r="H134" s="90" t="str">
        <x:f>IFERROR(INDEX($A$2:$A$500,MATCH(G134,$B$2:$B$500,0)),"")</x:f>
      </x:c>
    </x:row>
    <x:row r="135" ht="22" customHeight="1">
      <x:c r="A135" s="45"/>
      <x:c r="B135" s="42"/>
      <x:c r="C135" s="46"/>
      <x:c r="D135" s="4"/>
      <x:c r="E135" s="47" t="str">
        <x:f>IF(C135="☑ Yes",A135,"")</x:f>
      </x:c>
      <x:c r="F135" s="89" t="str">
        <x:f>IF(B135="","",COUNTIF($B$2:$B$500,"&lt;"&amp;B135)+COUNTIF($B$2:B135,B135))</x:f>
      </x:c>
      <x:c r="G135" s="89" t="str">
        <x:f>IFERROR(INDEX($B$2:$B$500,MATCH(ROWS($G$2:G135),$F$2:$F$500,0)),"")</x:f>
      </x:c>
      <x:c r="H135" s="90" t="str">
        <x:f>IFERROR(INDEX($A$2:$A$500,MATCH(G135,$B$2:$B$500,0)),"")</x:f>
      </x:c>
    </x:row>
    <x:row r="136" ht="22" customHeight="1">
      <x:c r="A136" s="45"/>
      <x:c r="B136" s="42"/>
      <x:c r="C136" s="46"/>
      <x:c r="D136" s="4"/>
      <x:c r="E136" s="47" t="str">
        <x:f>IF(C136="☑ Yes",A136,"")</x:f>
      </x:c>
      <x:c r="F136" s="89" t="str">
        <x:f>IF(B136="","",COUNTIF($B$2:$B$500,"&lt;"&amp;B136)+COUNTIF($B$2:B136,B136))</x:f>
      </x:c>
      <x:c r="G136" s="89" t="str">
        <x:f>IFERROR(INDEX($B$2:$B$500,MATCH(ROWS($G$2:G136),$F$2:$F$500,0)),"")</x:f>
      </x:c>
      <x:c r="H136" s="90" t="str">
        <x:f>IFERROR(INDEX($A$2:$A$500,MATCH(G136,$B$2:$B$500,0)),"")</x:f>
      </x:c>
    </x:row>
    <x:row r="137" ht="22" customHeight="1">
      <x:c r="A137" s="45"/>
      <x:c r="B137" s="42"/>
      <x:c r="C137" s="46"/>
      <x:c r="D137" s="4"/>
      <x:c r="E137" s="47" t="str">
        <x:f>IF(C137="☑ Yes",A137,"")</x:f>
      </x:c>
      <x:c r="F137" s="89" t="str">
        <x:f>IF(B137="","",COUNTIF($B$2:$B$500,"&lt;"&amp;B137)+COUNTIF($B$2:B137,B137))</x:f>
      </x:c>
      <x:c r="G137" s="89" t="str">
        <x:f>IFERROR(INDEX($B$2:$B$500,MATCH(ROWS($G$2:G137),$F$2:$F$500,0)),"")</x:f>
      </x:c>
      <x:c r="H137" s="90" t="str">
        <x:f>IFERROR(INDEX($A$2:$A$500,MATCH(G137,$B$2:$B$500,0)),"")</x:f>
      </x:c>
    </x:row>
    <x:row r="138" ht="22" customHeight="1">
      <x:c r="A138" s="45"/>
      <x:c r="B138" s="42"/>
      <x:c r="C138" s="46"/>
      <x:c r="D138" s="4"/>
      <x:c r="E138" s="47" t="str">
        <x:f>IF(C138="☑ Yes",A138,"")</x:f>
      </x:c>
      <x:c r="F138" s="89" t="str">
        <x:f>IF(B138="","",COUNTIF($B$2:$B$500,"&lt;"&amp;B138)+COUNTIF($B$2:B138,B138))</x:f>
      </x:c>
      <x:c r="G138" s="89" t="str">
        <x:f>IFERROR(INDEX($B$2:$B$500,MATCH(ROWS($G$2:G138),$F$2:$F$500,0)),"")</x:f>
      </x:c>
      <x:c r="H138" s="90" t="str">
        <x:f>IFERROR(INDEX($A$2:$A$500,MATCH(G138,$B$2:$B$500,0)),"")</x:f>
      </x:c>
    </x:row>
    <x:row r="139" ht="22" customHeight="1">
      <x:c r="A139" s="45"/>
      <x:c r="B139" s="42"/>
      <x:c r="C139" s="46"/>
      <x:c r="D139" s="4"/>
      <x:c r="E139" s="47" t="str">
        <x:f>IF(C139="☑ Yes",A139,"")</x:f>
      </x:c>
      <x:c r="F139" s="89" t="str">
        <x:f>IF(B139="","",COUNTIF($B$2:$B$500,"&lt;"&amp;B139)+COUNTIF($B$2:B139,B139))</x:f>
      </x:c>
      <x:c r="G139" s="89" t="str">
        <x:f>IFERROR(INDEX($B$2:$B$500,MATCH(ROWS($G$2:G139),$F$2:$F$500,0)),"")</x:f>
      </x:c>
      <x:c r="H139" s="90" t="str">
        <x:f>IFERROR(INDEX($A$2:$A$500,MATCH(G139,$B$2:$B$500,0)),"")</x:f>
      </x:c>
    </x:row>
    <x:row r="140" ht="22" customHeight="1">
      <x:c r="A140" s="45"/>
      <x:c r="B140" s="42"/>
      <x:c r="C140" s="46"/>
      <x:c r="D140" s="4"/>
      <x:c r="E140" s="47" t="str">
        <x:f>IF(C140="☑ Yes",A140,"")</x:f>
      </x:c>
      <x:c r="F140" s="89" t="str">
        <x:f>IF(B140="","",COUNTIF($B$2:$B$500,"&lt;"&amp;B140)+COUNTIF($B$2:B140,B140))</x:f>
      </x:c>
      <x:c r="G140" s="89" t="str">
        <x:f>IFERROR(INDEX($B$2:$B$500,MATCH(ROWS($G$2:G140),$F$2:$F$500,0)),"")</x:f>
      </x:c>
      <x:c r="H140" s="90" t="str">
        <x:f>IFERROR(INDEX($A$2:$A$500,MATCH(G140,$B$2:$B$500,0)),"")</x:f>
      </x:c>
    </x:row>
    <x:row r="141" ht="22" customHeight="1">
      <x:c r="A141" s="45"/>
      <x:c r="B141" s="42"/>
      <x:c r="C141" s="46"/>
      <x:c r="D141" s="4"/>
      <x:c r="E141" s="47" t="str">
        <x:f>IF(C141="☑ Yes",A141,"")</x:f>
      </x:c>
      <x:c r="F141" s="89" t="str">
        <x:f>IF(B141="","",COUNTIF($B$2:$B$500,"&lt;"&amp;B141)+COUNTIF($B$2:B141,B141))</x:f>
      </x:c>
      <x:c r="G141" s="89" t="str">
        <x:f>IFERROR(INDEX($B$2:$B$500,MATCH(ROWS($G$2:G141),$F$2:$F$500,0)),"")</x:f>
      </x:c>
      <x:c r="H141" s="90" t="str">
        <x:f>IFERROR(INDEX($A$2:$A$500,MATCH(G141,$B$2:$B$500,0)),"")</x:f>
      </x:c>
    </x:row>
    <x:row r="142" ht="22" customHeight="1">
      <x:c r="A142" s="45"/>
      <x:c r="B142" s="42"/>
      <x:c r="C142" s="46"/>
      <x:c r="D142" s="4"/>
      <x:c r="E142" s="47" t="str">
        <x:f>IF(C142="☑ Yes",A142,"")</x:f>
      </x:c>
      <x:c r="F142" s="89" t="str">
        <x:f>IF(B142="","",COUNTIF($B$2:$B$500,"&lt;"&amp;B142)+COUNTIF($B$2:B142,B142))</x:f>
      </x:c>
      <x:c r="G142" s="89" t="str">
        <x:f>IFERROR(INDEX($B$2:$B$500,MATCH(ROWS($G$2:G142),$F$2:$F$500,0)),"")</x:f>
      </x:c>
      <x:c r="H142" s="90" t="str">
        <x:f>IFERROR(INDEX($A$2:$A$500,MATCH(G142,$B$2:$B$500,0)),"")</x:f>
      </x:c>
    </x:row>
    <x:row r="143" ht="22" customHeight="1">
      <x:c r="A143" s="45"/>
      <x:c r="B143" s="42"/>
      <x:c r="C143" s="46"/>
      <x:c r="D143" s="4"/>
      <x:c r="E143" s="47" t="str">
        <x:f>IF(C143="☑ Yes",A143,"")</x:f>
      </x:c>
      <x:c r="F143" s="89" t="str">
        <x:f>IF(B143="","",COUNTIF($B$2:$B$500,"&lt;"&amp;B143)+COUNTIF($B$2:B143,B143))</x:f>
      </x:c>
      <x:c r="G143" s="89" t="str">
        <x:f>IFERROR(INDEX($B$2:$B$500,MATCH(ROWS($G$2:G143),$F$2:$F$500,0)),"")</x:f>
      </x:c>
      <x:c r="H143" s="90" t="str">
        <x:f>IFERROR(INDEX($A$2:$A$500,MATCH(G143,$B$2:$B$500,0)),"")</x:f>
      </x:c>
    </x:row>
    <x:row r="144" ht="22" customHeight="1">
      <x:c r="A144" s="45"/>
      <x:c r="B144" s="42"/>
      <x:c r="C144" s="46"/>
      <x:c r="D144" s="4"/>
      <x:c r="E144" s="47" t="str">
        <x:f>IF(C144="☑ Yes",A144,"")</x:f>
      </x:c>
      <x:c r="F144" s="89" t="str">
        <x:f>IF(B144="","",COUNTIF($B$2:$B$500,"&lt;"&amp;B144)+COUNTIF($B$2:B144,B144))</x:f>
      </x:c>
      <x:c r="G144" s="89" t="str">
        <x:f>IFERROR(INDEX($B$2:$B$500,MATCH(ROWS($G$2:G144),$F$2:$F$500,0)),"")</x:f>
      </x:c>
      <x:c r="H144" s="90" t="str">
        <x:f>IFERROR(INDEX($A$2:$A$500,MATCH(G144,$B$2:$B$500,0)),"")</x:f>
      </x:c>
    </x:row>
    <x:row r="145" ht="22" customHeight="1">
      <x:c r="A145" s="45"/>
      <x:c r="B145" s="42"/>
      <x:c r="C145" s="46"/>
      <x:c r="D145" s="4"/>
      <x:c r="E145" s="47" t="str">
        <x:f>IF(C145="☑ Yes",A145,"")</x:f>
      </x:c>
      <x:c r="F145" s="89" t="str">
        <x:f>IF(B145="","",COUNTIF($B$2:$B$500,"&lt;"&amp;B145)+COUNTIF($B$2:B145,B145))</x:f>
      </x:c>
      <x:c r="G145" s="89" t="str">
        <x:f>IFERROR(INDEX($B$2:$B$500,MATCH(ROWS($G$2:G145),$F$2:$F$500,0)),"")</x:f>
      </x:c>
      <x:c r="H145" s="90" t="str">
        <x:f>IFERROR(INDEX($A$2:$A$500,MATCH(G145,$B$2:$B$500,0)),"")</x:f>
      </x:c>
    </x:row>
    <x:row r="146" ht="22" customHeight="1">
      <x:c r="A146" s="45"/>
      <x:c r="B146" s="42"/>
      <x:c r="C146" s="46"/>
      <x:c r="D146" s="4"/>
      <x:c r="E146" s="47" t="str">
        <x:f>IF(C146="☑ Yes",A146,"")</x:f>
      </x:c>
      <x:c r="F146" s="89" t="str">
        <x:f>IF(B146="","",COUNTIF($B$2:$B$500,"&lt;"&amp;B146)+COUNTIF($B$2:B146,B146))</x:f>
      </x:c>
      <x:c r="G146" s="89" t="str">
        <x:f>IFERROR(INDEX($B$2:$B$500,MATCH(ROWS($G$2:G146),$F$2:$F$500,0)),"")</x:f>
      </x:c>
      <x:c r="H146" s="90" t="str">
        <x:f>IFERROR(INDEX($A$2:$A$500,MATCH(G146,$B$2:$B$500,0)),"")</x:f>
      </x:c>
    </x:row>
    <x:row r="147" ht="22" customHeight="1">
      <x:c r="A147" s="45"/>
      <x:c r="B147" s="42"/>
      <x:c r="C147" s="46"/>
      <x:c r="D147" s="4"/>
      <x:c r="E147" s="47" t="str">
        <x:f>IF(C147="☑ Yes",A147,"")</x:f>
      </x:c>
      <x:c r="F147" s="89" t="str">
        <x:f>IF(B147="","",COUNTIF($B$2:$B$500,"&lt;"&amp;B147)+COUNTIF($B$2:B147,B147))</x:f>
      </x:c>
      <x:c r="G147" s="89" t="str">
        <x:f>IFERROR(INDEX($B$2:$B$500,MATCH(ROWS($G$2:G147),$F$2:$F$500,0)),"")</x:f>
      </x:c>
      <x:c r="H147" s="90" t="str">
        <x:f>IFERROR(INDEX($A$2:$A$500,MATCH(G147,$B$2:$B$500,0)),"")</x:f>
      </x:c>
    </x:row>
    <x:row r="148" ht="22" customHeight="1">
      <x:c r="A148" s="45"/>
      <x:c r="B148" s="42"/>
      <x:c r="C148" s="46"/>
      <x:c r="D148" s="4"/>
      <x:c r="E148" s="47" t="str">
        <x:f>IF(C148="☑ Yes",A148,"")</x:f>
      </x:c>
      <x:c r="F148" s="89" t="str">
        <x:f>IF(B148="","",COUNTIF($B$2:$B$500,"&lt;"&amp;B148)+COUNTIF($B$2:B148,B148))</x:f>
      </x:c>
      <x:c r="G148" s="89" t="str">
        <x:f>IFERROR(INDEX($B$2:$B$500,MATCH(ROWS($G$2:G148),$F$2:$F$500,0)),"")</x:f>
      </x:c>
      <x:c r="H148" s="90" t="str">
        <x:f>IFERROR(INDEX($A$2:$A$500,MATCH(G148,$B$2:$B$500,0)),"")</x:f>
      </x:c>
    </x:row>
    <x:row r="149" ht="22" customHeight="1">
      <x:c r="A149" s="45"/>
      <x:c r="B149" s="42"/>
      <x:c r="C149" s="46"/>
      <x:c r="D149" s="4"/>
      <x:c r="E149" s="47" t="str">
        <x:f>IF(C149="☑ Yes",A149,"")</x:f>
      </x:c>
      <x:c r="F149" s="89" t="str">
        <x:f>IF(B149="","",COUNTIF($B$2:$B$500,"&lt;"&amp;B149)+COUNTIF($B$2:B149,B149))</x:f>
      </x:c>
      <x:c r="G149" s="89" t="str">
        <x:f>IFERROR(INDEX($B$2:$B$500,MATCH(ROWS($G$2:G149),$F$2:$F$500,0)),"")</x:f>
      </x:c>
      <x:c r="H149" s="90" t="str">
        <x:f>IFERROR(INDEX($A$2:$A$500,MATCH(G149,$B$2:$B$500,0)),"")</x:f>
      </x:c>
    </x:row>
    <x:row r="150" ht="22" customHeight="1">
      <x:c r="A150" s="45"/>
      <x:c r="B150" s="42"/>
      <x:c r="C150" s="46"/>
      <x:c r="D150" s="4"/>
      <x:c r="E150" s="47" t="str">
        <x:f>IF(C150="☑ Yes",A150,"")</x:f>
      </x:c>
      <x:c r="F150" s="89" t="str">
        <x:f>IF(B150="","",COUNTIF($B$2:$B$500,"&lt;"&amp;B150)+COUNTIF($B$2:B150,B150))</x:f>
      </x:c>
      <x:c r="G150" s="89" t="str">
        <x:f>IFERROR(INDEX($B$2:$B$500,MATCH(ROWS($G$2:G150),$F$2:$F$500,0)),"")</x:f>
      </x:c>
      <x:c r="H150" s="90" t="str">
        <x:f>IFERROR(INDEX($A$2:$A$500,MATCH(G150,$B$2:$B$500,0)),"")</x:f>
      </x:c>
    </x:row>
    <x:row r="151" ht="22" customHeight="1">
      <x:c r="A151" s="45"/>
      <x:c r="B151" s="42"/>
      <x:c r="C151" s="46"/>
      <x:c r="D151" s="4"/>
      <x:c r="E151" s="47" t="str">
        <x:f>IF(C151="☑ Yes",A151,"")</x:f>
      </x:c>
      <x:c r="F151" s="89" t="str">
        <x:f>IF(B151="","",COUNTIF($B$2:$B$500,"&lt;"&amp;B151)+COUNTIF($B$2:B151,B151))</x:f>
      </x:c>
      <x:c r="G151" s="89" t="str">
        <x:f>IFERROR(INDEX($B$2:$B$500,MATCH(ROWS($G$2:G151),$F$2:$F$500,0)),"")</x:f>
      </x:c>
      <x:c r="H151" s="90" t="str">
        <x:f>IFERROR(INDEX($A$2:$A$500,MATCH(G151,$B$2:$B$500,0)),"")</x:f>
      </x:c>
    </x:row>
    <x:row r="152" ht="22" customHeight="1">
      <x:c r="A152" s="45"/>
      <x:c r="B152" s="42"/>
      <x:c r="C152" s="46"/>
      <x:c r="D152" s="4"/>
      <x:c r="E152" s="47" t="str">
        <x:f>IF(C152="☑ Yes",A152,"")</x:f>
      </x:c>
      <x:c r="F152" s="89" t="str">
        <x:f>IF(B152="","",COUNTIF($B$2:$B$500,"&lt;"&amp;B152)+COUNTIF($B$2:B152,B152))</x:f>
      </x:c>
      <x:c r="G152" s="89" t="str">
        <x:f>IFERROR(INDEX($B$2:$B$500,MATCH(ROWS($G$2:G152),$F$2:$F$500,0)),"")</x:f>
      </x:c>
      <x:c r="H152" s="90" t="str">
        <x:f>IFERROR(INDEX($A$2:$A$500,MATCH(G152,$B$2:$B$500,0)),"")</x:f>
      </x:c>
    </x:row>
    <x:row r="153" ht="22" customHeight="1">
      <x:c r="A153" s="45"/>
      <x:c r="B153" s="42"/>
      <x:c r="C153" s="46"/>
      <x:c r="D153" s="4"/>
      <x:c r="E153" s="47" t="str">
        <x:f>IF(C153="☑ Yes",A153,"")</x:f>
      </x:c>
      <x:c r="F153" s="89" t="str">
        <x:f>IF(B153="","",COUNTIF($B$2:$B$500,"&lt;"&amp;B153)+COUNTIF($B$2:B153,B153))</x:f>
      </x:c>
      <x:c r="G153" s="89" t="str">
        <x:f>IFERROR(INDEX($B$2:$B$500,MATCH(ROWS($G$2:G153),$F$2:$F$500,0)),"")</x:f>
      </x:c>
      <x:c r="H153" s="90" t="str">
        <x:f>IFERROR(INDEX($A$2:$A$500,MATCH(G153,$B$2:$B$500,0)),"")</x:f>
      </x:c>
    </x:row>
    <x:row r="154" ht="22" customHeight="1">
      <x:c r="A154" s="45"/>
      <x:c r="B154" s="42"/>
      <x:c r="C154" s="46"/>
      <x:c r="D154" s="4"/>
      <x:c r="E154" s="47" t="str">
        <x:f>IF(C154="☑ Yes",A154,"")</x:f>
      </x:c>
      <x:c r="F154" s="89" t="str">
        <x:f>IF(B154="","",COUNTIF($B$2:$B$500,"&lt;"&amp;B154)+COUNTIF($B$2:B154,B154))</x:f>
      </x:c>
      <x:c r="G154" s="89" t="str">
        <x:f>IFERROR(INDEX($B$2:$B$500,MATCH(ROWS($G$2:G154),$F$2:$F$500,0)),"")</x:f>
      </x:c>
      <x:c r="H154" s="90" t="str">
        <x:f>IFERROR(INDEX($A$2:$A$500,MATCH(G154,$B$2:$B$500,0)),"")</x:f>
      </x:c>
    </x:row>
    <x:row r="155" ht="22" customHeight="1">
      <x:c r="A155" s="45"/>
      <x:c r="B155" s="42"/>
      <x:c r="C155" s="46"/>
      <x:c r="D155" s="4"/>
      <x:c r="E155" s="47" t="str">
        <x:f>IF(C155="☑ Yes",A155,"")</x:f>
      </x:c>
      <x:c r="F155" s="89" t="str">
        <x:f>IF(B155="","",COUNTIF($B$2:$B$500,"&lt;"&amp;B155)+COUNTIF($B$2:B155,B155))</x:f>
      </x:c>
      <x:c r="G155" s="89" t="str">
        <x:f>IFERROR(INDEX($B$2:$B$500,MATCH(ROWS($G$2:G155),$F$2:$F$500,0)),"")</x:f>
      </x:c>
      <x:c r="H155" s="90" t="str">
        <x:f>IFERROR(INDEX($A$2:$A$500,MATCH(G155,$B$2:$B$500,0)),"")</x:f>
      </x:c>
    </x:row>
    <x:row r="156" ht="22" customHeight="1">
      <x:c r="A156" s="45"/>
      <x:c r="B156" s="42"/>
      <x:c r="C156" s="46"/>
      <x:c r="D156" s="4"/>
      <x:c r="E156" s="47" t="str">
        <x:f>IF(C156="☑ Yes",A156,"")</x:f>
      </x:c>
      <x:c r="F156" s="89" t="str">
        <x:f>IF(B156="","",COUNTIF($B$2:$B$500,"&lt;"&amp;B156)+COUNTIF($B$2:B156,B156))</x:f>
      </x:c>
      <x:c r="G156" s="89" t="str">
        <x:f>IFERROR(INDEX($B$2:$B$500,MATCH(ROWS($G$2:G156),$F$2:$F$500,0)),"")</x:f>
      </x:c>
      <x:c r="H156" s="90" t="str">
        <x:f>IFERROR(INDEX($A$2:$A$500,MATCH(G156,$B$2:$B$500,0)),"")</x:f>
      </x:c>
    </x:row>
    <x:row r="157" ht="22" customHeight="1">
      <x:c r="A157" s="45"/>
      <x:c r="B157" s="42"/>
      <x:c r="C157" s="46"/>
      <x:c r="D157" s="4"/>
      <x:c r="E157" s="47" t="str">
        <x:f>IF(C157="☑ Yes",A157,"")</x:f>
      </x:c>
      <x:c r="F157" s="89" t="str">
        <x:f>IF(B157="","",COUNTIF($B$2:$B$500,"&lt;"&amp;B157)+COUNTIF($B$2:B157,B157))</x:f>
      </x:c>
      <x:c r="G157" s="89" t="str">
        <x:f>IFERROR(INDEX($B$2:$B$500,MATCH(ROWS($G$2:G157),$F$2:$F$500,0)),"")</x:f>
      </x:c>
      <x:c r="H157" s="90" t="str">
        <x:f>IFERROR(INDEX($A$2:$A$500,MATCH(G157,$B$2:$B$500,0)),"")</x:f>
      </x:c>
    </x:row>
    <x:row r="158" ht="22" customHeight="1">
      <x:c r="A158" s="45"/>
      <x:c r="B158" s="42"/>
      <x:c r="C158" s="46"/>
      <x:c r="D158" s="4"/>
      <x:c r="E158" s="47" t="str">
        <x:f>IF(C158="☑ Yes",A158,"")</x:f>
      </x:c>
      <x:c r="F158" s="89" t="str">
        <x:f>IF(B158="","",COUNTIF($B$2:$B$500,"&lt;"&amp;B158)+COUNTIF($B$2:B158,B158))</x:f>
      </x:c>
      <x:c r="G158" s="89" t="str">
        <x:f>IFERROR(INDEX($B$2:$B$500,MATCH(ROWS($G$2:G158),$F$2:$F$500,0)),"")</x:f>
      </x:c>
      <x:c r="H158" s="90" t="str">
        <x:f>IFERROR(INDEX($A$2:$A$500,MATCH(G158,$B$2:$B$500,0)),"")</x:f>
      </x:c>
    </x:row>
    <x:row r="159" ht="22" customHeight="1">
      <x:c r="A159" s="45"/>
      <x:c r="B159" s="42"/>
      <x:c r="C159" s="46"/>
      <x:c r="D159" s="4"/>
      <x:c r="E159" s="47" t="str">
        <x:f>IF(C159="☑ Yes",A159,"")</x:f>
      </x:c>
      <x:c r="F159" s="89" t="str">
        <x:f>IF(B159="","",COUNTIF($B$2:$B$500,"&lt;"&amp;B159)+COUNTIF($B$2:B159,B159))</x:f>
      </x:c>
      <x:c r="G159" s="89" t="str">
        <x:f>IFERROR(INDEX($B$2:$B$500,MATCH(ROWS($G$2:G159),$F$2:$F$500,0)),"")</x:f>
      </x:c>
      <x:c r="H159" s="90" t="str">
        <x:f>IFERROR(INDEX($A$2:$A$500,MATCH(G159,$B$2:$B$500,0)),"")</x:f>
      </x:c>
    </x:row>
    <x:row r="160" ht="22" customHeight="1">
      <x:c r="A160" s="45"/>
      <x:c r="B160" s="42"/>
      <x:c r="C160" s="46"/>
      <x:c r="D160" s="4"/>
      <x:c r="E160" s="47" t="str">
        <x:f>IF(C160="☑ Yes",A160,"")</x:f>
      </x:c>
      <x:c r="F160" s="89" t="str">
        <x:f>IF(B160="","",COUNTIF($B$2:$B$500,"&lt;"&amp;B160)+COUNTIF($B$2:B160,B160))</x:f>
      </x:c>
      <x:c r="G160" s="89" t="str">
        <x:f>IFERROR(INDEX($B$2:$B$500,MATCH(ROWS($G$2:G160),$F$2:$F$500,0)),"")</x:f>
      </x:c>
      <x:c r="H160" s="90" t="str">
        <x:f>IFERROR(INDEX($A$2:$A$500,MATCH(G160,$B$2:$B$500,0)),"")</x:f>
      </x:c>
    </x:row>
    <x:row r="161" ht="22" customHeight="1">
      <x:c r="A161" s="45"/>
      <x:c r="B161" s="42"/>
      <x:c r="C161" s="46"/>
      <x:c r="D161" s="4"/>
      <x:c r="E161" s="47" t="str">
        <x:f>IF(C161="☑ Yes",A161,"")</x:f>
      </x:c>
      <x:c r="F161" s="89" t="str">
        <x:f>IF(B161="","",COUNTIF($B$2:$B$500,"&lt;"&amp;B161)+COUNTIF($B$2:B161,B161))</x:f>
      </x:c>
      <x:c r="G161" s="89" t="str">
        <x:f>IFERROR(INDEX($B$2:$B$500,MATCH(ROWS($G$2:G161),$F$2:$F$500,0)),"")</x:f>
      </x:c>
      <x:c r="H161" s="90" t="str">
        <x:f>IFERROR(INDEX($A$2:$A$500,MATCH(G161,$B$2:$B$500,0)),"")</x:f>
      </x:c>
    </x:row>
    <x:row r="162" ht="22" customHeight="1">
      <x:c r="A162" s="45"/>
      <x:c r="B162" s="42"/>
      <x:c r="C162" s="46"/>
      <x:c r="D162" s="4"/>
      <x:c r="E162" s="47" t="str">
        <x:f>IF(C162="☑ Yes",A162,"")</x:f>
      </x:c>
      <x:c r="F162" s="89" t="str">
        <x:f>IF(B162="","",COUNTIF($B$2:$B$500,"&lt;"&amp;B162)+COUNTIF($B$2:B162,B162))</x:f>
      </x:c>
      <x:c r="G162" s="89" t="str">
        <x:f>IFERROR(INDEX($B$2:$B$500,MATCH(ROWS($G$2:G162),$F$2:$F$500,0)),"")</x:f>
      </x:c>
      <x:c r="H162" s="90" t="str">
        <x:f>IFERROR(INDEX($A$2:$A$500,MATCH(G162,$B$2:$B$500,0)),"")</x:f>
      </x:c>
    </x:row>
    <x:row r="163" ht="22" customHeight="1">
      <x:c r="A163" s="45"/>
      <x:c r="B163" s="42"/>
      <x:c r="C163" s="46"/>
      <x:c r="D163" s="4"/>
      <x:c r="E163" s="47" t="str">
        <x:f>IF(C163="☑ Yes",A163,"")</x:f>
      </x:c>
      <x:c r="F163" s="89" t="str">
        <x:f>IF(B163="","",COUNTIF($B$2:$B$500,"&lt;"&amp;B163)+COUNTIF($B$2:B163,B163))</x:f>
      </x:c>
      <x:c r="G163" s="89" t="str">
        <x:f>IFERROR(INDEX($B$2:$B$500,MATCH(ROWS($G$2:G163),$F$2:$F$500,0)),"")</x:f>
      </x:c>
      <x:c r="H163" s="90" t="str">
        <x:f>IFERROR(INDEX($A$2:$A$500,MATCH(G163,$B$2:$B$500,0)),"")</x:f>
      </x:c>
    </x:row>
    <x:row r="164" ht="22" customHeight="1">
      <x:c r="A164" s="45"/>
      <x:c r="B164" s="42"/>
      <x:c r="C164" s="46"/>
      <x:c r="D164" s="4"/>
      <x:c r="E164" s="47" t="str">
        <x:f>IF(C164="☑ Yes",A164,"")</x:f>
      </x:c>
      <x:c r="F164" s="89" t="str">
        <x:f>IF(B164="","",COUNTIF($B$2:$B$500,"&lt;"&amp;B164)+COUNTIF($B$2:B164,B164))</x:f>
      </x:c>
      <x:c r="G164" s="89" t="str">
        <x:f>IFERROR(INDEX($B$2:$B$500,MATCH(ROWS($G$2:G164),$F$2:$F$500,0)),"")</x:f>
      </x:c>
      <x:c r="H164" s="90" t="str">
        <x:f>IFERROR(INDEX($A$2:$A$500,MATCH(G164,$B$2:$B$500,0)),"")</x:f>
      </x:c>
    </x:row>
    <x:row r="165" ht="22" customHeight="1">
      <x:c r="A165" s="45"/>
      <x:c r="B165" s="42"/>
      <x:c r="C165" s="46"/>
      <x:c r="D165" s="4"/>
      <x:c r="E165" s="47" t="str">
        <x:f>IF(C165="☑ Yes",A165,"")</x:f>
      </x:c>
      <x:c r="F165" s="89" t="str">
        <x:f>IF(B165="","",COUNTIF($B$2:$B$500,"&lt;"&amp;B165)+COUNTIF($B$2:B165,B165))</x:f>
      </x:c>
      <x:c r="G165" s="89" t="str">
        <x:f>IFERROR(INDEX($B$2:$B$500,MATCH(ROWS($G$2:G165),$F$2:$F$500,0)),"")</x:f>
      </x:c>
      <x:c r="H165" s="90" t="str">
        <x:f>IFERROR(INDEX($A$2:$A$500,MATCH(G165,$B$2:$B$500,0)),"")</x:f>
      </x:c>
    </x:row>
    <x:row r="166" ht="22" customHeight="1">
      <x:c r="A166" s="45"/>
      <x:c r="B166" s="42"/>
      <x:c r="C166" s="46"/>
      <x:c r="D166" s="4"/>
      <x:c r="E166" s="47" t="str">
        <x:f>IF(C166="☑ Yes",A166,"")</x:f>
      </x:c>
      <x:c r="F166" s="89" t="str">
        <x:f>IF(B166="","",COUNTIF($B$2:$B$500,"&lt;"&amp;B166)+COUNTIF($B$2:B166,B166))</x:f>
      </x:c>
      <x:c r="G166" s="89" t="str">
        <x:f>IFERROR(INDEX($B$2:$B$500,MATCH(ROWS($G$2:G166),$F$2:$F$500,0)),"")</x:f>
      </x:c>
      <x:c r="H166" s="90" t="str">
        <x:f>IFERROR(INDEX($A$2:$A$500,MATCH(G166,$B$2:$B$500,0)),"")</x:f>
      </x:c>
    </x:row>
    <x:row r="167" ht="22" customHeight="1">
      <x:c r="A167" s="45"/>
      <x:c r="B167" s="42"/>
      <x:c r="C167" s="46"/>
      <x:c r="D167" s="4"/>
      <x:c r="E167" s="47" t="str">
        <x:f>IF(C167="☑ Yes",A167,"")</x:f>
      </x:c>
      <x:c r="F167" s="89" t="str">
        <x:f>IF(B167="","",COUNTIF($B$2:$B$500,"&lt;"&amp;B167)+COUNTIF($B$2:B167,B167))</x:f>
      </x:c>
      <x:c r="G167" s="89" t="str">
        <x:f>IFERROR(INDEX($B$2:$B$500,MATCH(ROWS($G$2:G167),$F$2:$F$500,0)),"")</x:f>
      </x:c>
      <x:c r="H167" s="90" t="str">
        <x:f>IFERROR(INDEX($A$2:$A$500,MATCH(G167,$B$2:$B$500,0)),"")</x:f>
      </x:c>
    </x:row>
    <x:row r="168" ht="22" customHeight="1">
      <x:c r="A168" s="45"/>
      <x:c r="B168" s="42"/>
      <x:c r="C168" s="46"/>
      <x:c r="D168" s="4"/>
      <x:c r="E168" s="47" t="str">
        <x:f>IF(C168="☑ Yes",A168,"")</x:f>
      </x:c>
      <x:c r="F168" s="89" t="str">
        <x:f>IF(B168="","",COUNTIF($B$2:$B$500,"&lt;"&amp;B168)+COUNTIF($B$2:B168,B168))</x:f>
      </x:c>
      <x:c r="G168" s="89" t="str">
        <x:f>IFERROR(INDEX($B$2:$B$500,MATCH(ROWS($G$2:G168),$F$2:$F$500,0)),"")</x:f>
      </x:c>
      <x:c r="H168" s="90" t="str">
        <x:f>IFERROR(INDEX($A$2:$A$500,MATCH(G168,$B$2:$B$500,0)),"")</x:f>
      </x:c>
    </x:row>
    <x:row r="169" ht="22" customHeight="1">
      <x:c r="A169" s="45"/>
      <x:c r="B169" s="42"/>
      <x:c r="C169" s="46"/>
      <x:c r="D169" s="4"/>
      <x:c r="E169" s="47" t="str">
        <x:f>IF(C169="☑ Yes",A169,"")</x:f>
      </x:c>
      <x:c r="F169" s="89" t="str">
        <x:f>IF(B169="","",COUNTIF($B$2:$B$500,"&lt;"&amp;B169)+COUNTIF($B$2:B169,B169))</x:f>
      </x:c>
      <x:c r="G169" s="89" t="str">
        <x:f>IFERROR(INDEX($B$2:$B$500,MATCH(ROWS($G$2:G169),$F$2:$F$500,0)),"")</x:f>
      </x:c>
      <x:c r="H169" s="90" t="str">
        <x:f>IFERROR(INDEX($A$2:$A$500,MATCH(G169,$B$2:$B$500,0)),"")</x:f>
      </x:c>
    </x:row>
    <x:row r="170" ht="22" customHeight="1">
      <x:c r="A170" s="45"/>
      <x:c r="B170" s="42"/>
      <x:c r="C170" s="46"/>
      <x:c r="D170" s="4"/>
      <x:c r="E170" s="47" t="str">
        <x:f>IF(C170="☑ Yes",A170,"")</x:f>
      </x:c>
      <x:c r="F170" s="89" t="str">
        <x:f>IF(B170="","",COUNTIF($B$2:$B$500,"&lt;"&amp;B170)+COUNTIF($B$2:B170,B170))</x:f>
      </x:c>
      <x:c r="G170" s="89" t="str">
        <x:f>IFERROR(INDEX($B$2:$B$500,MATCH(ROWS($G$2:G170),$F$2:$F$500,0)),"")</x:f>
      </x:c>
      <x:c r="H170" s="90" t="str">
        <x:f>IFERROR(INDEX($A$2:$A$500,MATCH(G170,$B$2:$B$500,0)),"")</x:f>
      </x:c>
    </x:row>
    <x:row r="171" ht="22" customHeight="1">
      <x:c r="A171" s="45"/>
      <x:c r="B171" s="42"/>
      <x:c r="C171" s="46"/>
      <x:c r="D171" s="4"/>
      <x:c r="E171" s="47" t="str">
        <x:f>IF(C171="☑ Yes",A171,"")</x:f>
      </x:c>
      <x:c r="F171" s="89" t="str">
        <x:f>IF(B171="","",COUNTIF($B$2:$B$500,"&lt;"&amp;B171)+COUNTIF($B$2:B171,B171))</x:f>
      </x:c>
      <x:c r="G171" s="89" t="str">
        <x:f>IFERROR(INDEX($B$2:$B$500,MATCH(ROWS($G$2:G171),$F$2:$F$500,0)),"")</x:f>
      </x:c>
      <x:c r="H171" s="90" t="str">
        <x:f>IFERROR(INDEX($A$2:$A$500,MATCH(G171,$B$2:$B$500,0)),"")</x:f>
      </x:c>
    </x:row>
    <x:row r="172" ht="22" customHeight="1">
      <x:c r="A172" s="45"/>
      <x:c r="B172" s="42"/>
      <x:c r="C172" s="46"/>
      <x:c r="D172" s="4"/>
      <x:c r="E172" s="47" t="str">
        <x:f>IF(C172="☑ Yes",A172,"")</x:f>
      </x:c>
      <x:c r="F172" s="89" t="str">
        <x:f>IF(B172="","",COUNTIF($B$2:$B$500,"&lt;"&amp;B172)+COUNTIF($B$2:B172,B172))</x:f>
      </x:c>
      <x:c r="G172" s="89" t="str">
        <x:f>IFERROR(INDEX($B$2:$B$500,MATCH(ROWS($G$2:G172),$F$2:$F$500,0)),"")</x:f>
      </x:c>
      <x:c r="H172" s="90" t="str">
        <x:f>IFERROR(INDEX($A$2:$A$500,MATCH(G172,$B$2:$B$500,0)),"")</x:f>
      </x:c>
    </x:row>
    <x:row r="173" ht="22" customHeight="1">
      <x:c r="A173" s="45"/>
      <x:c r="B173" s="42"/>
      <x:c r="C173" s="46"/>
      <x:c r="D173" s="4"/>
      <x:c r="E173" s="47" t="str">
        <x:f>IF(C173="☑ Yes",A173,"")</x:f>
      </x:c>
      <x:c r="F173" s="89" t="str">
        <x:f>IF(B173="","",COUNTIF($B$2:$B$500,"&lt;"&amp;B173)+COUNTIF($B$2:B173,B173))</x:f>
      </x:c>
      <x:c r="G173" s="89" t="str">
        <x:f>IFERROR(INDEX($B$2:$B$500,MATCH(ROWS($G$2:G173),$F$2:$F$500,0)),"")</x:f>
      </x:c>
      <x:c r="H173" s="90" t="str">
        <x:f>IFERROR(INDEX($A$2:$A$500,MATCH(G173,$B$2:$B$500,0)),"")</x:f>
      </x:c>
    </x:row>
    <x:row r="174" ht="22" customHeight="1">
      <x:c r="A174" s="45"/>
      <x:c r="B174" s="42"/>
      <x:c r="C174" s="46"/>
      <x:c r="D174" s="4"/>
      <x:c r="E174" s="47" t="str">
        <x:f>IF(C174="☑ Yes",A174,"")</x:f>
      </x:c>
      <x:c r="F174" s="89" t="str">
        <x:f>IF(B174="","",COUNTIF($B$2:$B$500,"&lt;"&amp;B174)+COUNTIF($B$2:B174,B174))</x:f>
      </x:c>
      <x:c r="G174" s="89" t="str">
        <x:f>IFERROR(INDEX($B$2:$B$500,MATCH(ROWS($G$2:G174),$F$2:$F$500,0)),"")</x:f>
      </x:c>
      <x:c r="H174" s="90" t="str">
        <x:f>IFERROR(INDEX($A$2:$A$500,MATCH(G174,$B$2:$B$500,0)),"")</x:f>
      </x:c>
    </x:row>
    <x:row r="175" ht="22" customHeight="1">
      <x:c r="A175" s="45"/>
      <x:c r="B175" s="42"/>
      <x:c r="C175" s="46"/>
      <x:c r="D175" s="4"/>
      <x:c r="E175" s="47" t="str">
        <x:f>IF(C175="☑ Yes",A175,"")</x:f>
      </x:c>
      <x:c r="F175" s="89" t="str">
        <x:f>IF(B175="","",COUNTIF($B$2:$B$500,"&lt;"&amp;B175)+COUNTIF($B$2:B175,B175))</x:f>
      </x:c>
      <x:c r="G175" s="89" t="str">
        <x:f>IFERROR(INDEX($B$2:$B$500,MATCH(ROWS($G$2:G175),$F$2:$F$500,0)),"")</x:f>
      </x:c>
      <x:c r="H175" s="90" t="str">
        <x:f>IFERROR(INDEX($A$2:$A$500,MATCH(G175,$B$2:$B$500,0)),"")</x:f>
      </x:c>
    </x:row>
    <x:row r="176" ht="22" customHeight="1">
      <x:c r="A176" s="45"/>
      <x:c r="B176" s="42"/>
      <x:c r="C176" s="46"/>
      <x:c r="D176" s="4"/>
      <x:c r="E176" s="47" t="str">
        <x:f>IF(C176="☑ Yes",A176,"")</x:f>
      </x:c>
      <x:c r="F176" s="89" t="str">
        <x:f>IF(B176="","",COUNTIF($B$2:$B$500,"&lt;"&amp;B176)+COUNTIF($B$2:B176,B176))</x:f>
      </x:c>
      <x:c r="G176" s="89" t="str">
        <x:f>IFERROR(INDEX($B$2:$B$500,MATCH(ROWS($G$2:G176),$F$2:$F$500,0)),"")</x:f>
      </x:c>
      <x:c r="H176" s="90" t="str">
        <x:f>IFERROR(INDEX($A$2:$A$500,MATCH(G176,$B$2:$B$500,0)),"")</x:f>
      </x:c>
    </x:row>
    <x:row r="177" ht="22" customHeight="1">
      <x:c r="A177" s="45"/>
      <x:c r="B177" s="42"/>
      <x:c r="C177" s="46"/>
      <x:c r="D177" s="4"/>
      <x:c r="E177" s="47" t="str">
        <x:f>IF(C177="☑ Yes",A177,"")</x:f>
      </x:c>
      <x:c r="F177" s="89" t="str">
        <x:f>IF(B177="","",COUNTIF($B$2:$B$500,"&lt;"&amp;B177)+COUNTIF($B$2:B177,B177))</x:f>
      </x:c>
      <x:c r="G177" s="89" t="str">
        <x:f>IFERROR(INDEX($B$2:$B$500,MATCH(ROWS($G$2:G177),$F$2:$F$500,0)),"")</x:f>
      </x:c>
      <x:c r="H177" s="90" t="str">
        <x:f>IFERROR(INDEX($A$2:$A$500,MATCH(G177,$B$2:$B$500,0)),"")</x:f>
      </x:c>
    </x:row>
    <x:row r="178" ht="22" customHeight="1">
      <x:c r="A178" s="45"/>
      <x:c r="B178" s="42"/>
      <x:c r="C178" s="46"/>
      <x:c r="D178" s="4"/>
      <x:c r="E178" s="47" t="str">
        <x:f>IF(C178="☑ Yes",A178,"")</x:f>
      </x:c>
      <x:c r="F178" s="89" t="str">
        <x:f>IF(B178="","",COUNTIF($B$2:$B$500,"&lt;"&amp;B178)+COUNTIF($B$2:B178,B178))</x:f>
      </x:c>
      <x:c r="G178" s="89" t="str">
        <x:f>IFERROR(INDEX($B$2:$B$500,MATCH(ROWS($G$2:G178),$F$2:$F$500,0)),"")</x:f>
      </x:c>
      <x:c r="H178" s="90" t="str">
        <x:f>IFERROR(INDEX($A$2:$A$500,MATCH(G178,$B$2:$B$500,0)),"")</x:f>
      </x:c>
    </x:row>
    <x:row r="179" ht="22" customHeight="1">
      <x:c r="A179" s="45"/>
      <x:c r="B179" s="42"/>
      <x:c r="C179" s="46"/>
      <x:c r="D179" s="4"/>
      <x:c r="E179" s="47" t="str">
        <x:f>IF(C179="☑ Yes",A179,"")</x:f>
      </x:c>
      <x:c r="F179" s="89" t="str">
        <x:f>IF(B179="","",COUNTIF($B$2:$B$500,"&lt;"&amp;B179)+COUNTIF($B$2:B179,B179))</x:f>
      </x:c>
      <x:c r="G179" s="89" t="str">
        <x:f>IFERROR(INDEX($B$2:$B$500,MATCH(ROWS($G$2:G179),$F$2:$F$500,0)),"")</x:f>
      </x:c>
      <x:c r="H179" s="90" t="str">
        <x:f>IFERROR(INDEX($A$2:$A$500,MATCH(G179,$B$2:$B$500,0)),"")</x:f>
      </x:c>
    </x:row>
    <x:row r="180" ht="22" customHeight="1">
      <x:c r="A180" s="45"/>
      <x:c r="B180" s="42"/>
      <x:c r="C180" s="46"/>
      <x:c r="D180" s="4"/>
      <x:c r="E180" s="47" t="str">
        <x:f>IF(C180="☑ Yes",A180,"")</x:f>
      </x:c>
      <x:c r="F180" s="89" t="str">
        <x:f>IF(B180="","",COUNTIF($B$2:$B$500,"&lt;"&amp;B180)+COUNTIF($B$2:B180,B180))</x:f>
      </x:c>
      <x:c r="G180" s="89" t="str">
        <x:f>IFERROR(INDEX($B$2:$B$500,MATCH(ROWS($G$2:G180),$F$2:$F$500,0)),"")</x:f>
      </x:c>
      <x:c r="H180" s="90" t="str">
        <x:f>IFERROR(INDEX($A$2:$A$500,MATCH(G180,$B$2:$B$500,0)),"")</x:f>
      </x:c>
    </x:row>
    <x:row r="181" ht="22" customHeight="1">
      <x:c r="A181" s="45"/>
      <x:c r="B181" s="42"/>
      <x:c r="C181" s="46"/>
      <x:c r="D181" s="4"/>
      <x:c r="E181" s="47" t="str">
        <x:f>IF(C181="☑ Yes",A181,"")</x:f>
      </x:c>
      <x:c r="F181" s="89" t="str">
        <x:f>IF(B181="","",COUNTIF($B$2:$B$500,"&lt;"&amp;B181)+COUNTIF($B$2:B181,B181))</x:f>
      </x:c>
      <x:c r="G181" s="89" t="str">
        <x:f>IFERROR(INDEX($B$2:$B$500,MATCH(ROWS($G$2:G181),$F$2:$F$500,0)),"")</x:f>
      </x:c>
      <x:c r="H181" s="90" t="str">
        <x:f>IFERROR(INDEX($A$2:$A$500,MATCH(G181,$B$2:$B$500,0)),"")</x:f>
      </x:c>
    </x:row>
    <x:row r="182" ht="22" customHeight="1">
      <x:c r="A182" s="45"/>
      <x:c r="B182" s="42"/>
      <x:c r="C182" s="46"/>
      <x:c r="D182" s="4"/>
      <x:c r="E182" s="47" t="str">
        <x:f>IF(C182="☑ Yes",A182,"")</x:f>
      </x:c>
      <x:c r="F182" s="89" t="str">
        <x:f>IF(B182="","",COUNTIF($B$2:$B$500,"&lt;"&amp;B182)+COUNTIF($B$2:B182,B182))</x:f>
      </x:c>
      <x:c r="G182" s="89" t="str">
        <x:f>IFERROR(INDEX($B$2:$B$500,MATCH(ROWS($G$2:G182),$F$2:$F$500,0)),"")</x:f>
      </x:c>
      <x:c r="H182" s="90" t="str">
        <x:f>IFERROR(INDEX($A$2:$A$500,MATCH(G182,$B$2:$B$500,0)),"")</x:f>
      </x:c>
    </x:row>
    <x:row r="183" ht="22" customHeight="1">
      <x:c r="A183" s="45"/>
      <x:c r="B183" s="42"/>
      <x:c r="C183" s="46"/>
      <x:c r="D183" s="4"/>
      <x:c r="E183" s="47" t="str">
        <x:f>IF(C183="☑ Yes",A183,"")</x:f>
      </x:c>
      <x:c r="F183" s="89" t="str">
        <x:f>IF(B183="","",COUNTIF($B$2:$B$500,"&lt;"&amp;B183)+COUNTIF($B$2:B183,B183))</x:f>
      </x:c>
      <x:c r="G183" s="89" t="str">
        <x:f>IFERROR(INDEX($B$2:$B$500,MATCH(ROWS($G$2:G183),$F$2:$F$500,0)),"")</x:f>
      </x:c>
      <x:c r="H183" s="90" t="str">
        <x:f>IFERROR(INDEX($A$2:$A$500,MATCH(G183,$B$2:$B$500,0)),"")</x:f>
      </x:c>
    </x:row>
    <x:row r="184" ht="22" customHeight="1">
      <x:c r="A184" s="45"/>
      <x:c r="B184" s="42"/>
      <x:c r="C184" s="46"/>
      <x:c r="D184" s="4"/>
      <x:c r="E184" s="47" t="str">
        <x:f>IF(C184="☑ Yes",A184,"")</x:f>
      </x:c>
      <x:c r="F184" s="89" t="str">
        <x:f>IF(B184="","",COUNTIF($B$2:$B$500,"&lt;"&amp;B184)+COUNTIF($B$2:B184,B184))</x:f>
      </x:c>
      <x:c r="G184" s="89" t="str">
        <x:f>IFERROR(INDEX($B$2:$B$500,MATCH(ROWS($G$2:G184),$F$2:$F$500,0)),"")</x:f>
      </x:c>
      <x:c r="H184" s="90" t="str">
        <x:f>IFERROR(INDEX($A$2:$A$500,MATCH(G184,$B$2:$B$500,0)),"")</x:f>
      </x:c>
    </x:row>
    <x:row r="185" ht="22" customHeight="1">
      <x:c r="A185" s="45"/>
      <x:c r="B185" s="42"/>
      <x:c r="C185" s="46"/>
      <x:c r="D185" s="4"/>
      <x:c r="E185" s="47" t="str">
        <x:f>IF(C185="☑ Yes",A185,"")</x:f>
      </x:c>
      <x:c r="F185" s="89" t="str">
        <x:f>IF(B185="","",COUNTIF($B$2:$B$500,"&lt;"&amp;B185)+COUNTIF($B$2:B185,B185))</x:f>
      </x:c>
      <x:c r="G185" s="89" t="str">
        <x:f>IFERROR(INDEX($B$2:$B$500,MATCH(ROWS($G$2:G185),$F$2:$F$500,0)),"")</x:f>
      </x:c>
      <x:c r="H185" s="90" t="str">
        <x:f>IFERROR(INDEX($A$2:$A$500,MATCH(G185,$B$2:$B$500,0)),"")</x:f>
      </x:c>
    </x:row>
    <x:row r="186" ht="22" customHeight="1">
      <x:c r="A186" s="45"/>
      <x:c r="B186" s="42"/>
      <x:c r="C186" s="46"/>
      <x:c r="D186" s="4"/>
      <x:c r="E186" s="47" t="str">
        <x:f>IF(C186="☑ Yes",A186,"")</x:f>
      </x:c>
      <x:c r="F186" s="89" t="str">
        <x:f>IF(B186="","",COUNTIF($B$2:$B$500,"&lt;"&amp;B186)+COUNTIF($B$2:B186,B186))</x:f>
      </x:c>
      <x:c r="G186" s="89" t="str">
        <x:f>IFERROR(INDEX($B$2:$B$500,MATCH(ROWS($G$2:G186),$F$2:$F$500,0)),"")</x:f>
      </x:c>
      <x:c r="H186" s="90" t="str">
        <x:f>IFERROR(INDEX($A$2:$A$500,MATCH(G186,$B$2:$B$500,0)),"")</x:f>
      </x:c>
    </x:row>
    <x:row r="187" ht="22" customHeight="1">
      <x:c r="A187" s="45"/>
      <x:c r="B187" s="42"/>
      <x:c r="C187" s="46"/>
      <x:c r="D187" s="4"/>
      <x:c r="E187" s="47" t="str">
        <x:f>IF(C187="☑ Yes",A187,"")</x:f>
      </x:c>
      <x:c r="F187" s="89" t="str">
        <x:f>IF(B187="","",COUNTIF($B$2:$B$500,"&lt;"&amp;B187)+COUNTIF($B$2:B187,B187))</x:f>
      </x:c>
      <x:c r="G187" s="89" t="str">
        <x:f>IFERROR(INDEX($B$2:$B$500,MATCH(ROWS($G$2:G187),$F$2:$F$500,0)),"")</x:f>
      </x:c>
      <x:c r="H187" s="90" t="str">
        <x:f>IFERROR(INDEX($A$2:$A$500,MATCH(G187,$B$2:$B$500,0)),"")</x:f>
      </x:c>
    </x:row>
    <x:row r="188" ht="22" customHeight="1">
      <x:c r="A188" s="45"/>
      <x:c r="B188" s="42"/>
      <x:c r="C188" s="46"/>
      <x:c r="D188" s="4"/>
      <x:c r="E188" s="47" t="str">
        <x:f>IF(C188="☑ Yes",A188,"")</x:f>
      </x:c>
      <x:c r="F188" s="89" t="str">
        <x:f>IF(B188="","",COUNTIF($B$2:$B$500,"&lt;"&amp;B188)+COUNTIF($B$2:B188,B188))</x:f>
      </x:c>
      <x:c r="G188" s="89" t="str">
        <x:f>IFERROR(INDEX($B$2:$B$500,MATCH(ROWS($G$2:G188),$F$2:$F$500,0)),"")</x:f>
      </x:c>
      <x:c r="H188" s="90" t="str">
        <x:f>IFERROR(INDEX($A$2:$A$500,MATCH(G188,$B$2:$B$500,0)),"")</x:f>
      </x:c>
    </x:row>
    <x:row r="189" ht="22" customHeight="1">
      <x:c r="A189" s="45"/>
      <x:c r="B189" s="42"/>
      <x:c r="C189" s="46"/>
      <x:c r="D189" s="4"/>
      <x:c r="E189" s="47" t="str">
        <x:f>IF(C189="☑ Yes",A189,"")</x:f>
      </x:c>
      <x:c r="F189" s="89" t="str">
        <x:f>IF(B189="","",COUNTIF($B$2:$B$500,"&lt;"&amp;B189)+COUNTIF($B$2:B189,B189))</x:f>
      </x:c>
      <x:c r="G189" s="89" t="str">
        <x:f>IFERROR(INDEX($B$2:$B$500,MATCH(ROWS($G$2:G189),$F$2:$F$500,0)),"")</x:f>
      </x:c>
      <x:c r="H189" s="90" t="str">
        <x:f>IFERROR(INDEX($A$2:$A$500,MATCH(G189,$B$2:$B$500,0)),"")</x:f>
      </x:c>
    </x:row>
    <x:row r="190" ht="22" customHeight="1">
      <x:c r="A190" s="45"/>
      <x:c r="B190" s="42"/>
      <x:c r="C190" s="46"/>
      <x:c r="D190" s="4"/>
      <x:c r="E190" s="47" t="str">
        <x:f>IF(C190="☑ Yes",A190,"")</x:f>
      </x:c>
      <x:c r="F190" s="89" t="str">
        <x:f>IF(B190="","",COUNTIF($B$2:$B$500,"&lt;"&amp;B190)+COUNTIF($B$2:B190,B190))</x:f>
      </x:c>
      <x:c r="G190" s="89" t="str">
        <x:f>IFERROR(INDEX($B$2:$B$500,MATCH(ROWS($G$2:G190),$F$2:$F$500,0)),"")</x:f>
      </x:c>
      <x:c r="H190" s="90" t="str">
        <x:f>IFERROR(INDEX($A$2:$A$500,MATCH(G190,$B$2:$B$500,0)),"")</x:f>
      </x:c>
    </x:row>
    <x:row r="191" ht="22" customHeight="1">
      <x:c r="A191" s="45"/>
      <x:c r="B191" s="42"/>
      <x:c r="C191" s="46"/>
      <x:c r="D191" s="4"/>
      <x:c r="E191" s="47" t="str">
        <x:f>IF(C191="☑ Yes",A191,"")</x:f>
      </x:c>
      <x:c r="F191" s="89" t="str">
        <x:f>IF(B191="","",COUNTIF($B$2:$B$500,"&lt;"&amp;B191)+COUNTIF($B$2:B191,B191))</x:f>
      </x:c>
      <x:c r="G191" s="89" t="str">
        <x:f>IFERROR(INDEX($B$2:$B$500,MATCH(ROWS($G$2:G191),$F$2:$F$500,0)),"")</x:f>
      </x:c>
      <x:c r="H191" s="90" t="str">
        <x:f>IFERROR(INDEX($A$2:$A$500,MATCH(G191,$B$2:$B$500,0)),"")</x:f>
      </x:c>
    </x:row>
    <x:row r="192" ht="22" customHeight="1">
      <x:c r="A192" s="45"/>
      <x:c r="B192" s="42"/>
      <x:c r="C192" s="46"/>
      <x:c r="D192" s="4"/>
      <x:c r="E192" s="47" t="str">
        <x:f>IF(C192="☑ Yes",A192,"")</x:f>
      </x:c>
      <x:c r="F192" s="89" t="str">
        <x:f>IF(B192="","",COUNTIF($B$2:$B$500,"&lt;"&amp;B192)+COUNTIF($B$2:B192,B192))</x:f>
      </x:c>
      <x:c r="G192" s="89" t="str">
        <x:f>IFERROR(INDEX($B$2:$B$500,MATCH(ROWS($G$2:G192),$F$2:$F$500,0)),"")</x:f>
      </x:c>
      <x:c r="H192" s="90" t="str">
        <x:f>IFERROR(INDEX($A$2:$A$500,MATCH(G192,$B$2:$B$500,0)),"")</x:f>
      </x:c>
    </x:row>
    <x:row r="193" ht="22" customHeight="1">
      <x:c r="A193" s="45"/>
      <x:c r="B193" s="42"/>
      <x:c r="C193" s="46"/>
      <x:c r="D193" s="4"/>
      <x:c r="E193" s="47" t="str">
        <x:f>IF(C193="☑ Yes",A193,"")</x:f>
      </x:c>
      <x:c r="F193" s="89" t="str">
        <x:f>IF(B193="","",COUNTIF($B$2:$B$500,"&lt;"&amp;B193)+COUNTIF($B$2:B193,B193))</x:f>
      </x:c>
      <x:c r="G193" s="89" t="str">
        <x:f>IFERROR(INDEX($B$2:$B$500,MATCH(ROWS($G$2:G193),$F$2:$F$500,0)),"")</x:f>
      </x:c>
      <x:c r="H193" s="90" t="str">
        <x:f>IFERROR(INDEX($A$2:$A$500,MATCH(G193,$B$2:$B$500,0)),"")</x:f>
      </x:c>
    </x:row>
    <x:row r="194" ht="22" customHeight="1">
      <x:c r="A194" s="45"/>
      <x:c r="B194" s="42"/>
      <x:c r="C194" s="46"/>
      <x:c r="D194" s="4"/>
      <x:c r="E194" s="47" t="str">
        <x:f>IF(C194="☑ Yes",A194,"")</x:f>
      </x:c>
      <x:c r="F194" s="89" t="str">
        <x:f>IF(B194="","",COUNTIF($B$2:$B$500,"&lt;"&amp;B194)+COUNTIF($B$2:B194,B194))</x:f>
      </x:c>
      <x:c r="G194" s="89" t="str">
        <x:f>IFERROR(INDEX($B$2:$B$500,MATCH(ROWS($G$2:G194),$F$2:$F$500,0)),"")</x:f>
      </x:c>
      <x:c r="H194" s="90" t="str">
        <x:f>IFERROR(INDEX($A$2:$A$500,MATCH(G194,$B$2:$B$500,0)),"")</x:f>
      </x:c>
    </x:row>
    <x:row r="195" ht="22" customHeight="1">
      <x:c r="A195" s="45"/>
      <x:c r="B195" s="42"/>
      <x:c r="C195" s="46"/>
      <x:c r="D195" s="4"/>
      <x:c r="E195" s="47" t="str">
        <x:f>IF(C195="☑ Yes",A195,"")</x:f>
      </x:c>
      <x:c r="F195" s="89" t="str">
        <x:f>IF(B195="","",COUNTIF($B$2:$B$500,"&lt;"&amp;B195)+COUNTIF($B$2:B195,B195))</x:f>
      </x:c>
      <x:c r="G195" s="89" t="str">
        <x:f>IFERROR(INDEX($B$2:$B$500,MATCH(ROWS($G$2:G195),$F$2:$F$500,0)),"")</x:f>
      </x:c>
      <x:c r="H195" s="90" t="str">
        <x:f>IFERROR(INDEX($A$2:$A$500,MATCH(G195,$B$2:$B$500,0)),"")</x:f>
      </x:c>
    </x:row>
    <x:row r="196" ht="22" customHeight="1">
      <x:c r="A196" s="45"/>
      <x:c r="B196" s="42"/>
      <x:c r="C196" s="46"/>
      <x:c r="D196" s="4"/>
      <x:c r="E196" s="47" t="str">
        <x:f>IF(C196="☑ Yes",A196,"")</x:f>
      </x:c>
      <x:c r="F196" s="89" t="str">
        <x:f>IF(B196="","",COUNTIF($B$2:$B$500,"&lt;"&amp;B196)+COUNTIF($B$2:B196,B196))</x:f>
      </x:c>
      <x:c r="G196" s="89" t="str">
        <x:f>IFERROR(INDEX($B$2:$B$500,MATCH(ROWS($G$2:G196),$F$2:$F$500,0)),"")</x:f>
      </x:c>
      <x:c r="H196" s="90" t="str">
        <x:f>IFERROR(INDEX($A$2:$A$500,MATCH(G196,$B$2:$B$500,0)),"")</x:f>
      </x:c>
    </x:row>
    <x:row r="197" ht="22" customHeight="1">
      <x:c r="A197" s="45"/>
      <x:c r="B197" s="42"/>
      <x:c r="C197" s="46"/>
      <x:c r="D197" s="4"/>
      <x:c r="E197" s="47" t="str">
        <x:f>IF(C197="☑ Yes",A197,"")</x:f>
      </x:c>
      <x:c r="F197" s="89" t="str">
        <x:f>IF(B197="","",COUNTIF($B$2:$B$500,"&lt;"&amp;B197)+COUNTIF($B$2:B197,B197))</x:f>
      </x:c>
      <x:c r="G197" s="89" t="str">
        <x:f>IFERROR(INDEX($B$2:$B$500,MATCH(ROWS($G$2:G197),$F$2:$F$500,0)),"")</x:f>
      </x:c>
      <x:c r="H197" s="90" t="str">
        <x:f>IFERROR(INDEX($A$2:$A$500,MATCH(G197,$B$2:$B$500,0)),"")</x:f>
      </x:c>
    </x:row>
    <x:row r="198" ht="22" customHeight="1">
      <x:c r="A198" s="45"/>
      <x:c r="B198" s="42"/>
      <x:c r="C198" s="46"/>
      <x:c r="D198" s="4"/>
      <x:c r="E198" s="47" t="str">
        <x:f>IF(C198="☑ Yes",A198,"")</x:f>
      </x:c>
      <x:c r="F198" s="89" t="str">
        <x:f>IF(B198="","",COUNTIF($B$2:$B$500,"&lt;"&amp;B198)+COUNTIF($B$2:B198,B198))</x:f>
      </x:c>
      <x:c r="G198" s="89" t="str">
        <x:f>IFERROR(INDEX($B$2:$B$500,MATCH(ROWS($G$2:G198),$F$2:$F$500,0)),"")</x:f>
      </x:c>
      <x:c r="H198" s="90" t="str">
        <x:f>IFERROR(INDEX($A$2:$A$500,MATCH(G198,$B$2:$B$500,0)),"")</x:f>
      </x:c>
    </x:row>
    <x:row r="199" ht="22" customHeight="1">
      <x:c r="A199" s="45"/>
      <x:c r="B199" s="42"/>
      <x:c r="C199" s="46"/>
      <x:c r="D199" s="4"/>
      <x:c r="E199" s="47" t="str">
        <x:f>IF(C199="☑ Yes",A199,"")</x:f>
      </x:c>
      <x:c r="F199" s="89" t="str">
        <x:f>IF(B199="","",COUNTIF($B$2:$B$500,"&lt;"&amp;B199)+COUNTIF($B$2:B199,B199))</x:f>
      </x:c>
      <x:c r="G199" s="89" t="str">
        <x:f>IFERROR(INDEX($B$2:$B$500,MATCH(ROWS($G$2:G199),$F$2:$F$500,0)),"")</x:f>
      </x:c>
      <x:c r="H199" s="90" t="str">
        <x:f>IFERROR(INDEX($A$2:$A$500,MATCH(G199,$B$2:$B$500,0)),"")</x:f>
      </x:c>
    </x:row>
    <x:row r="200" ht="22" customHeight="1">
      <x:c r="A200" s="45"/>
      <x:c r="B200" s="42"/>
      <x:c r="C200" s="46"/>
      <x:c r="D200" s="4"/>
      <x:c r="E200" s="47" t="str">
        <x:f>IF(C200="☑ Yes",A200,"")</x:f>
      </x:c>
      <x:c r="F200" s="89" t="str">
        <x:f>IF(B200="","",COUNTIF($B$2:$B$500,"&lt;"&amp;B200)+COUNTIF($B$2:B200,B200))</x:f>
      </x:c>
      <x:c r="G200" s="89" t="str">
        <x:f>IFERROR(INDEX($B$2:$B$500,MATCH(ROWS($G$2:G200),$F$2:$F$500,0)),"")</x:f>
      </x:c>
      <x:c r="H200" s="90" t="str">
        <x:f>IFERROR(INDEX($A$2:$A$500,MATCH(G200,$B$2:$B$500,0)),"")</x:f>
      </x:c>
    </x:row>
    <x:row r="201" ht="22" customHeight="1">
      <x:c r="A201" s="45"/>
      <x:c r="B201" s="42"/>
      <x:c r="C201" s="46"/>
      <x:c r="D201" s="4"/>
      <x:c r="E201" s="47" t="str">
        <x:f>IF(C201="☑ Yes",A201,"")</x:f>
      </x:c>
      <x:c r="F201" s="89" t="str">
        <x:f>IF(B201="","",COUNTIF($B$2:$B$500,"&lt;"&amp;B201)+COUNTIF($B$2:B201,B201))</x:f>
      </x:c>
      <x:c r="G201" s="89" t="str">
        <x:f>IFERROR(INDEX($B$2:$B$500,MATCH(ROWS($G$2:G201),$F$2:$F$500,0)),"")</x:f>
      </x:c>
      <x:c r="H201" s="90" t="str">
        <x:f>IFERROR(INDEX($A$2:$A$500,MATCH(G201,$B$2:$B$500,0)),"")</x:f>
      </x:c>
    </x:row>
    <x:row r="202" ht="22" customHeight="1">
      <x:c r="A202" s="45"/>
      <x:c r="B202" s="42"/>
      <x:c r="C202" s="46"/>
      <x:c r="D202" s="4"/>
      <x:c r="E202" s="47" t="str">
        <x:f>IF(C202="☑ Yes",A202,"")</x:f>
      </x:c>
      <x:c r="F202" s="89" t="str">
        <x:f>IF(B202="","",COUNTIF($B$2:$B$500,"&lt;"&amp;B202)+COUNTIF($B$2:B202,B202))</x:f>
      </x:c>
      <x:c r="G202" s="89" t="str">
        <x:f>IFERROR(INDEX($B$2:$B$500,MATCH(ROWS($G$2:G202),$F$2:$F$500,0)),"")</x:f>
      </x:c>
      <x:c r="H202" s="90" t="str">
        <x:f>IFERROR(INDEX($A$2:$A$500,MATCH(G202,$B$2:$B$500,0)),"")</x:f>
      </x:c>
    </x:row>
    <x:row r="203" ht="22" customHeight="1">
      <x:c r="A203" s="45"/>
      <x:c r="B203" s="42"/>
      <x:c r="C203" s="46"/>
      <x:c r="D203" s="4"/>
      <x:c r="E203" s="47" t="str">
        <x:f>IF(C203="☑ Yes",A203,"")</x:f>
      </x:c>
      <x:c r="F203" s="89" t="str">
        <x:f>IF(B203="","",COUNTIF($B$2:$B$500,"&lt;"&amp;B203)+COUNTIF($B$2:B203,B203))</x:f>
      </x:c>
      <x:c r="G203" s="89" t="str">
        <x:f>IFERROR(INDEX($B$2:$B$500,MATCH(ROWS($G$2:G203),$F$2:$F$500,0)),"")</x:f>
      </x:c>
      <x:c r="H203" s="90" t="str">
        <x:f>IFERROR(INDEX($A$2:$A$500,MATCH(G203,$B$2:$B$500,0)),"")</x:f>
      </x:c>
    </x:row>
    <x:row r="204" ht="22" customHeight="1">
      <x:c r="A204" s="45"/>
      <x:c r="B204" s="42"/>
      <x:c r="C204" s="46"/>
      <x:c r="D204" s="4"/>
      <x:c r="E204" s="47" t="str">
        <x:f>IF(C204="☑ Yes",A204,"")</x:f>
      </x:c>
      <x:c r="F204" s="89" t="str">
        <x:f>IF(B204="","",COUNTIF($B$2:$B$500,"&lt;"&amp;B204)+COUNTIF($B$2:B204,B204))</x:f>
      </x:c>
      <x:c r="G204" s="89" t="str">
        <x:f>IFERROR(INDEX($B$2:$B$500,MATCH(ROWS($G$2:G204),$F$2:$F$500,0)),"")</x:f>
      </x:c>
      <x:c r="H204" s="90" t="str">
        <x:f>IFERROR(INDEX($A$2:$A$500,MATCH(G204,$B$2:$B$500,0)),"")</x:f>
      </x:c>
    </x:row>
    <x:row r="205" ht="22" customHeight="1">
      <x:c r="A205" s="45"/>
      <x:c r="B205" s="42"/>
      <x:c r="C205" s="46"/>
      <x:c r="D205" s="4"/>
      <x:c r="E205" s="47" t="str">
        <x:f>IF(C205="☑ Yes",A205,"")</x:f>
      </x:c>
      <x:c r="F205" s="89" t="str">
        <x:f>IF(B205="","",COUNTIF($B$2:$B$500,"&lt;"&amp;B205)+COUNTIF($B$2:B205,B205))</x:f>
      </x:c>
      <x:c r="G205" s="89" t="str">
        <x:f>IFERROR(INDEX($B$2:$B$500,MATCH(ROWS($G$2:G205),$F$2:$F$500,0)),"")</x:f>
      </x:c>
      <x:c r="H205" s="90" t="str">
        <x:f>IFERROR(INDEX($A$2:$A$500,MATCH(G205,$B$2:$B$500,0)),"")</x:f>
      </x:c>
    </x:row>
    <x:row r="206" ht="22" customHeight="1">
      <x:c r="A206" s="45"/>
      <x:c r="B206" s="42"/>
      <x:c r="C206" s="46"/>
      <x:c r="D206" s="4"/>
      <x:c r="E206" s="47" t="str">
        <x:f>IF(C206="☑ Yes",A206,"")</x:f>
      </x:c>
      <x:c r="F206" s="89" t="str">
        <x:f>IF(B206="","",COUNTIF($B$2:$B$500,"&lt;"&amp;B206)+COUNTIF($B$2:B206,B206))</x:f>
      </x:c>
      <x:c r="G206" s="89" t="str">
        <x:f>IFERROR(INDEX($B$2:$B$500,MATCH(ROWS($G$2:G206),$F$2:$F$500,0)),"")</x:f>
      </x:c>
      <x:c r="H206" s="90" t="str">
        <x:f>IFERROR(INDEX($A$2:$A$500,MATCH(G206,$B$2:$B$500,0)),"")</x:f>
      </x:c>
    </x:row>
    <x:row r="207" ht="22" customHeight="1">
      <x:c r="A207" s="45"/>
      <x:c r="B207" s="42"/>
      <x:c r="C207" s="46"/>
      <x:c r="D207" s="4"/>
      <x:c r="E207" s="47" t="str">
        <x:f>IF(C207="☑ Yes",A207,"")</x:f>
      </x:c>
      <x:c r="F207" s="89" t="str">
        <x:f>IF(B207="","",COUNTIF($B$2:$B$500,"&lt;"&amp;B207)+COUNTIF($B$2:B207,B207))</x:f>
      </x:c>
      <x:c r="G207" s="89" t="str">
        <x:f>IFERROR(INDEX($B$2:$B$500,MATCH(ROWS($G$2:G207),$F$2:$F$500,0)),"")</x:f>
      </x:c>
      <x:c r="H207" s="90" t="str">
        <x:f>IFERROR(INDEX($A$2:$A$500,MATCH(G207,$B$2:$B$500,0)),"")</x:f>
      </x:c>
    </x:row>
    <x:row r="208" ht="22" customHeight="1">
      <x:c r="A208" s="45"/>
      <x:c r="B208" s="42"/>
      <x:c r="C208" s="46"/>
      <x:c r="D208" s="4"/>
      <x:c r="E208" s="47" t="str">
        <x:f>IF(C208="☑ Yes",A208,"")</x:f>
      </x:c>
      <x:c r="F208" s="89" t="str">
        <x:f>IF(B208="","",COUNTIF($B$2:$B$500,"&lt;"&amp;B208)+COUNTIF($B$2:B208,B208))</x:f>
      </x:c>
      <x:c r="G208" s="89" t="str">
        <x:f>IFERROR(INDEX($B$2:$B$500,MATCH(ROWS($G$2:G208),$F$2:$F$500,0)),"")</x:f>
      </x:c>
      <x:c r="H208" s="90" t="str">
        <x:f>IFERROR(INDEX($A$2:$A$500,MATCH(G208,$B$2:$B$500,0)),"")</x:f>
      </x:c>
    </x:row>
    <x:row r="209" ht="22" customHeight="1">
      <x:c r="A209" s="45"/>
      <x:c r="B209" s="42"/>
      <x:c r="C209" s="46"/>
      <x:c r="D209" s="4"/>
      <x:c r="E209" s="47" t="str">
        <x:f>IF(C209="☑ Yes",A209,"")</x:f>
      </x:c>
      <x:c r="F209" s="89" t="str">
        <x:f>IF(B209="","",COUNTIF($B$2:$B$500,"&lt;"&amp;B209)+COUNTIF($B$2:B209,B209))</x:f>
      </x:c>
      <x:c r="G209" s="89" t="str">
        <x:f>IFERROR(INDEX($B$2:$B$500,MATCH(ROWS($G$2:G209),$F$2:$F$500,0)),"")</x:f>
      </x:c>
      <x:c r="H209" s="90" t="str">
        <x:f>IFERROR(INDEX($A$2:$A$500,MATCH(G209,$B$2:$B$500,0)),"")</x:f>
      </x:c>
    </x:row>
    <x:row r="210" ht="22" customHeight="1">
      <x:c r="A210" s="45"/>
      <x:c r="B210" s="42"/>
      <x:c r="C210" s="46"/>
      <x:c r="D210" s="4"/>
      <x:c r="E210" s="47" t="str">
        <x:f>IF(C210="☑ Yes",A210,"")</x:f>
      </x:c>
      <x:c r="F210" s="89" t="str">
        <x:f>IF(B210="","",COUNTIF($B$2:$B$500,"&lt;"&amp;B210)+COUNTIF($B$2:B210,B210))</x:f>
      </x:c>
      <x:c r="G210" s="89" t="str">
        <x:f>IFERROR(INDEX($B$2:$B$500,MATCH(ROWS($G$2:G210),$F$2:$F$500,0)),"")</x:f>
      </x:c>
      <x:c r="H210" s="90" t="str">
        <x:f>IFERROR(INDEX($A$2:$A$500,MATCH(G210,$B$2:$B$500,0)),"")</x:f>
      </x:c>
    </x:row>
    <x:row r="211" ht="22" customHeight="1">
      <x:c r="A211" s="45"/>
      <x:c r="B211" s="42"/>
      <x:c r="C211" s="46"/>
      <x:c r="D211" s="4"/>
      <x:c r="E211" s="47" t="str">
        <x:f>IF(C211="☑ Yes",A211,"")</x:f>
      </x:c>
      <x:c r="F211" s="89" t="str">
        <x:f>IF(B211="","",COUNTIF($B$2:$B$500,"&lt;"&amp;B211)+COUNTIF($B$2:B211,B211))</x:f>
      </x:c>
      <x:c r="G211" s="89" t="str">
        <x:f>IFERROR(INDEX($B$2:$B$500,MATCH(ROWS($G$2:G211),$F$2:$F$500,0)),"")</x:f>
      </x:c>
      <x:c r="H211" s="90" t="str">
        <x:f>IFERROR(INDEX($A$2:$A$500,MATCH(G211,$B$2:$B$500,0)),"")</x:f>
      </x:c>
    </x:row>
    <x:row r="212" ht="22" customHeight="1">
      <x:c r="A212" s="45"/>
      <x:c r="B212" s="42"/>
      <x:c r="C212" s="46"/>
      <x:c r="D212" s="4"/>
      <x:c r="E212" s="47" t="str">
        <x:f>IF(C212="☑ Yes",A212,"")</x:f>
      </x:c>
      <x:c r="F212" s="89" t="str">
        <x:f>IF(B212="","",COUNTIF($B$2:$B$500,"&lt;"&amp;B212)+COUNTIF($B$2:B212,B212))</x:f>
      </x:c>
      <x:c r="G212" s="89" t="str">
        <x:f>IFERROR(INDEX($B$2:$B$500,MATCH(ROWS($G$2:G212),$F$2:$F$500,0)),"")</x:f>
      </x:c>
      <x:c r="H212" s="90" t="str">
        <x:f>IFERROR(INDEX($A$2:$A$500,MATCH(G212,$B$2:$B$500,0)),"")</x:f>
      </x:c>
    </x:row>
    <x:row r="213" ht="22" customHeight="1">
      <x:c r="A213" s="45"/>
      <x:c r="B213" s="42"/>
      <x:c r="C213" s="46"/>
      <x:c r="D213" s="4"/>
      <x:c r="E213" s="47" t="str">
        <x:f>IF(C213="☑ Yes",A213,"")</x:f>
      </x:c>
      <x:c r="F213" s="89" t="str">
        <x:f>IF(B213="","",COUNTIF($B$2:$B$500,"&lt;"&amp;B213)+COUNTIF($B$2:B213,B213))</x:f>
      </x:c>
      <x:c r="G213" s="89" t="str">
        <x:f>IFERROR(INDEX($B$2:$B$500,MATCH(ROWS($G$2:G213),$F$2:$F$500,0)),"")</x:f>
      </x:c>
      <x:c r="H213" s="90" t="str">
        <x:f>IFERROR(INDEX($A$2:$A$500,MATCH(G213,$B$2:$B$500,0)),"")</x:f>
      </x:c>
    </x:row>
    <x:row r="214" ht="22" customHeight="1">
      <x:c r="A214" s="45"/>
      <x:c r="B214" s="42"/>
      <x:c r="C214" s="46"/>
      <x:c r="D214" s="4"/>
      <x:c r="E214" s="47" t="str">
        <x:f>IF(C214="☑ Yes",A214,"")</x:f>
      </x:c>
      <x:c r="F214" s="89" t="str">
        <x:f>IF(B214="","",COUNTIF($B$2:$B$500,"&lt;"&amp;B214)+COUNTIF($B$2:B214,B214))</x:f>
      </x:c>
      <x:c r="G214" s="89" t="str">
        <x:f>IFERROR(INDEX($B$2:$B$500,MATCH(ROWS($G$2:G214),$F$2:$F$500,0)),"")</x:f>
      </x:c>
      <x:c r="H214" s="90" t="str">
        <x:f>IFERROR(INDEX($A$2:$A$500,MATCH(G214,$B$2:$B$500,0)),"")</x:f>
      </x:c>
    </x:row>
    <x:row r="215" ht="22" customHeight="1">
      <x:c r="A215" s="45"/>
      <x:c r="B215" s="42"/>
      <x:c r="C215" s="46"/>
      <x:c r="D215" s="4"/>
      <x:c r="E215" s="47" t="str">
        <x:f>IF(C215="☑ Yes",A215,"")</x:f>
      </x:c>
      <x:c r="F215" s="89" t="str">
        <x:f>IF(B215="","",COUNTIF($B$2:$B$500,"&lt;"&amp;B215)+COUNTIF($B$2:B215,B215))</x:f>
      </x:c>
      <x:c r="G215" s="89" t="str">
        <x:f>IFERROR(INDEX($B$2:$B$500,MATCH(ROWS($G$2:G215),$F$2:$F$500,0)),"")</x:f>
      </x:c>
      <x:c r="H215" s="90" t="str">
        <x:f>IFERROR(INDEX($A$2:$A$500,MATCH(G215,$B$2:$B$500,0)),"")</x:f>
      </x:c>
    </x:row>
    <x:row r="216" ht="22" customHeight="1">
      <x:c r="A216" s="45"/>
      <x:c r="B216" s="42"/>
      <x:c r="C216" s="46"/>
      <x:c r="D216" s="4"/>
      <x:c r="E216" s="47" t="str">
        <x:f>IF(C216="☑ Yes",A216,"")</x:f>
      </x:c>
      <x:c r="F216" s="89" t="str">
        <x:f>IF(B216="","",COUNTIF($B$2:$B$500,"&lt;"&amp;B216)+COUNTIF($B$2:B216,B216))</x:f>
      </x:c>
      <x:c r="G216" s="89" t="str">
        <x:f>IFERROR(INDEX($B$2:$B$500,MATCH(ROWS($G$2:G216),$F$2:$F$500,0)),"")</x:f>
      </x:c>
      <x:c r="H216" s="90" t="str">
        <x:f>IFERROR(INDEX($A$2:$A$500,MATCH(G216,$B$2:$B$500,0)),"")</x:f>
      </x:c>
    </x:row>
    <x:row r="217" ht="22" customHeight="1">
      <x:c r="A217" s="45"/>
      <x:c r="B217" s="42"/>
      <x:c r="C217" s="46"/>
      <x:c r="D217" s="4"/>
      <x:c r="E217" s="47" t="str">
        <x:f>IF(C217="☑ Yes",A217,"")</x:f>
      </x:c>
      <x:c r="F217" s="89" t="str">
        <x:f>IF(B217="","",COUNTIF($B$2:$B$500,"&lt;"&amp;B217)+COUNTIF($B$2:B217,B217))</x:f>
      </x:c>
      <x:c r="G217" s="89" t="str">
        <x:f>IFERROR(INDEX($B$2:$B$500,MATCH(ROWS($G$2:G217),$F$2:$F$500,0)),"")</x:f>
      </x:c>
      <x:c r="H217" s="90" t="str">
        <x:f>IFERROR(INDEX($A$2:$A$500,MATCH(G217,$B$2:$B$500,0)),"")</x:f>
      </x:c>
    </x:row>
    <x:row r="218" ht="22" customHeight="1">
      <x:c r="A218" s="45"/>
      <x:c r="B218" s="42"/>
      <x:c r="C218" s="46"/>
      <x:c r="D218" s="4"/>
      <x:c r="E218" s="47" t="str">
        <x:f>IF(C218="☑ Yes",A218,"")</x:f>
      </x:c>
      <x:c r="F218" s="89" t="str">
        <x:f>IF(B218="","",COUNTIF($B$2:$B$500,"&lt;"&amp;B218)+COUNTIF($B$2:B218,B218))</x:f>
      </x:c>
      <x:c r="G218" s="89" t="str">
        <x:f>IFERROR(INDEX($B$2:$B$500,MATCH(ROWS($G$2:G218),$F$2:$F$500,0)),"")</x:f>
      </x:c>
      <x:c r="H218" s="90" t="str">
        <x:f>IFERROR(INDEX($A$2:$A$500,MATCH(G218,$B$2:$B$500,0)),"")</x:f>
      </x:c>
    </x:row>
    <x:row r="219" ht="22" customHeight="1">
      <x:c r="A219" s="45"/>
      <x:c r="B219" s="42"/>
      <x:c r="C219" s="46"/>
      <x:c r="D219" s="4"/>
      <x:c r="E219" s="47" t="str">
        <x:f>IF(C219="☑ Yes",A219,"")</x:f>
      </x:c>
      <x:c r="F219" s="89" t="str">
        <x:f>IF(B219="","",COUNTIF($B$2:$B$500,"&lt;"&amp;B219)+COUNTIF($B$2:B219,B219))</x:f>
      </x:c>
      <x:c r="G219" s="89" t="str">
        <x:f>IFERROR(INDEX($B$2:$B$500,MATCH(ROWS($G$2:G219),$F$2:$F$500,0)),"")</x:f>
      </x:c>
      <x:c r="H219" s="90" t="str">
        <x:f>IFERROR(INDEX($A$2:$A$500,MATCH(G219,$B$2:$B$500,0)),"")</x:f>
      </x:c>
    </x:row>
    <x:row r="220" ht="22" customHeight="1">
      <x:c r="A220" s="45"/>
      <x:c r="B220" s="42"/>
      <x:c r="C220" s="46"/>
      <x:c r="D220" s="4"/>
      <x:c r="E220" s="47" t="str">
        <x:f>IF(C220="☑ Yes",A220,"")</x:f>
      </x:c>
      <x:c r="F220" s="89" t="str">
        <x:f>IF(B220="","",COUNTIF($B$2:$B$500,"&lt;"&amp;B220)+COUNTIF($B$2:B220,B220))</x:f>
      </x:c>
      <x:c r="G220" s="89" t="str">
        <x:f>IFERROR(INDEX($B$2:$B$500,MATCH(ROWS($G$2:G220),$F$2:$F$500,0)),"")</x:f>
      </x:c>
      <x:c r="H220" s="90" t="str">
        <x:f>IFERROR(INDEX($A$2:$A$500,MATCH(G220,$B$2:$B$500,0)),"")</x:f>
      </x:c>
    </x:row>
    <x:row r="221" ht="22" customHeight="1">
      <x:c r="A221" s="45"/>
      <x:c r="B221" s="42"/>
      <x:c r="C221" s="46"/>
      <x:c r="D221" s="4"/>
      <x:c r="E221" s="47" t="str">
        <x:f>IF(C221="☑ Yes",A221,"")</x:f>
      </x:c>
      <x:c r="F221" s="89" t="str">
        <x:f>IF(B221="","",COUNTIF($B$2:$B$500,"&lt;"&amp;B221)+COUNTIF($B$2:B221,B221))</x:f>
      </x:c>
      <x:c r="G221" s="89" t="str">
        <x:f>IFERROR(INDEX($B$2:$B$500,MATCH(ROWS($G$2:G221),$F$2:$F$500,0)),"")</x:f>
      </x:c>
      <x:c r="H221" s="90" t="str">
        <x:f>IFERROR(INDEX($A$2:$A$500,MATCH(G221,$B$2:$B$500,0)),"")</x:f>
      </x:c>
    </x:row>
    <x:row r="222" ht="22" customHeight="1">
      <x:c r="A222" s="45"/>
      <x:c r="B222" s="42"/>
      <x:c r="C222" s="46"/>
      <x:c r="D222" s="4"/>
      <x:c r="E222" s="47" t="str">
        <x:f>IF(C222="☑ Yes",A222,"")</x:f>
      </x:c>
      <x:c r="F222" s="89" t="str">
        <x:f>IF(B222="","",COUNTIF($B$2:$B$500,"&lt;"&amp;B222)+COUNTIF($B$2:B222,B222))</x:f>
      </x:c>
      <x:c r="G222" s="89" t="str">
        <x:f>IFERROR(INDEX($B$2:$B$500,MATCH(ROWS($G$2:G222),$F$2:$F$500,0)),"")</x:f>
      </x:c>
      <x:c r="H222" s="90" t="str">
        <x:f>IFERROR(INDEX($A$2:$A$500,MATCH(G222,$B$2:$B$500,0)),"")</x:f>
      </x:c>
    </x:row>
    <x:row r="223" ht="22" customHeight="1">
      <x:c r="A223" s="45"/>
      <x:c r="B223" s="42"/>
      <x:c r="C223" s="46"/>
      <x:c r="D223" s="4"/>
      <x:c r="E223" s="47" t="str">
        <x:f>IF(C223="☑ Yes",A223,"")</x:f>
      </x:c>
      <x:c r="F223" s="89" t="str">
        <x:f>IF(B223="","",COUNTIF($B$2:$B$500,"&lt;"&amp;B223)+COUNTIF($B$2:B223,B223))</x:f>
      </x:c>
      <x:c r="G223" s="89" t="str">
        <x:f>IFERROR(INDEX($B$2:$B$500,MATCH(ROWS($G$2:G223),$F$2:$F$500,0)),"")</x:f>
      </x:c>
      <x:c r="H223" s="90" t="str">
        <x:f>IFERROR(INDEX($A$2:$A$500,MATCH(G223,$B$2:$B$500,0)),"")</x:f>
      </x:c>
    </x:row>
    <x:row r="224" ht="22" customHeight="1">
      <x:c r="A224" s="45"/>
      <x:c r="B224" s="42"/>
      <x:c r="C224" s="46"/>
      <x:c r="D224" s="4"/>
      <x:c r="E224" s="47" t="str">
        <x:f>IF(C224="☑ Yes",A224,"")</x:f>
      </x:c>
      <x:c r="F224" s="89" t="str">
        <x:f>IF(B224="","",COUNTIF($B$2:$B$500,"&lt;"&amp;B224)+COUNTIF($B$2:B224,B224))</x:f>
      </x:c>
      <x:c r="G224" s="89" t="str">
        <x:f>IFERROR(INDEX($B$2:$B$500,MATCH(ROWS($G$2:G224),$F$2:$F$500,0)),"")</x:f>
      </x:c>
      <x:c r="H224" s="90" t="str">
        <x:f>IFERROR(INDEX($A$2:$A$500,MATCH(G224,$B$2:$B$500,0)),"")</x:f>
      </x:c>
    </x:row>
    <x:row r="225" ht="22" customHeight="1">
      <x:c r="A225" s="45"/>
      <x:c r="B225" s="42"/>
      <x:c r="C225" s="46"/>
      <x:c r="D225" s="4"/>
      <x:c r="E225" s="47" t="str">
        <x:f>IF(C225="☑ Yes",A225,"")</x:f>
      </x:c>
      <x:c r="F225" s="89" t="str">
        <x:f>IF(B225="","",COUNTIF($B$2:$B$500,"&lt;"&amp;B225)+COUNTIF($B$2:B225,B225))</x:f>
      </x:c>
      <x:c r="G225" s="89" t="str">
        <x:f>IFERROR(INDEX($B$2:$B$500,MATCH(ROWS($G$2:G225),$F$2:$F$500,0)),"")</x:f>
      </x:c>
      <x:c r="H225" s="90" t="str">
        <x:f>IFERROR(INDEX($A$2:$A$500,MATCH(G225,$B$2:$B$500,0)),"")</x:f>
      </x:c>
    </x:row>
    <x:row r="226" ht="22" customHeight="1">
      <x:c r="A226" s="45"/>
      <x:c r="B226" s="42"/>
      <x:c r="C226" s="46"/>
      <x:c r="D226" s="4"/>
      <x:c r="E226" s="47" t="str">
        <x:f>IF(C226="☑ Yes",A226,"")</x:f>
      </x:c>
      <x:c r="F226" s="89" t="str">
        <x:f>IF(B226="","",COUNTIF($B$2:$B$500,"&lt;"&amp;B226)+COUNTIF($B$2:B226,B226))</x:f>
      </x:c>
      <x:c r="G226" s="89" t="str">
        <x:f>IFERROR(INDEX($B$2:$B$500,MATCH(ROWS($G$2:G226),$F$2:$F$500,0)),"")</x:f>
      </x:c>
      <x:c r="H226" s="90" t="str">
        <x:f>IFERROR(INDEX($A$2:$A$500,MATCH(G226,$B$2:$B$500,0)),"")</x:f>
      </x:c>
    </x:row>
    <x:row r="227" ht="22" customHeight="1">
      <x:c r="A227" s="45"/>
      <x:c r="B227" s="42"/>
      <x:c r="C227" s="46"/>
      <x:c r="D227" s="4"/>
      <x:c r="E227" s="47" t="str">
        <x:f>IF(C227="☑ Yes",A227,"")</x:f>
      </x:c>
      <x:c r="F227" s="89" t="str">
        <x:f>IF(B227="","",COUNTIF($B$2:$B$500,"&lt;"&amp;B227)+COUNTIF($B$2:B227,B227))</x:f>
      </x:c>
      <x:c r="G227" s="89" t="str">
        <x:f>IFERROR(INDEX($B$2:$B$500,MATCH(ROWS($G$2:G227),$F$2:$F$500,0)),"")</x:f>
      </x:c>
      <x:c r="H227" s="90" t="str">
        <x:f>IFERROR(INDEX($A$2:$A$500,MATCH(G227,$B$2:$B$500,0)),"")</x:f>
      </x:c>
    </x:row>
    <x:row r="228" ht="22" customHeight="1">
      <x:c r="A228" s="45"/>
      <x:c r="B228" s="42"/>
      <x:c r="C228" s="46"/>
      <x:c r="D228" s="4"/>
      <x:c r="E228" s="47" t="str">
        <x:f>IF(C228="☑ Yes",A228,"")</x:f>
      </x:c>
      <x:c r="F228" s="89" t="str">
        <x:f>IF(B228="","",COUNTIF($B$2:$B$500,"&lt;"&amp;B228)+COUNTIF($B$2:B228,B228))</x:f>
      </x:c>
      <x:c r="G228" s="89" t="str">
        <x:f>IFERROR(INDEX($B$2:$B$500,MATCH(ROWS($G$2:G228),$F$2:$F$500,0)),"")</x:f>
      </x:c>
      <x:c r="H228" s="90" t="str">
        <x:f>IFERROR(INDEX($A$2:$A$500,MATCH(G228,$B$2:$B$500,0)),"")</x:f>
      </x:c>
    </x:row>
    <x:row r="229" ht="22" customHeight="1">
      <x:c r="A229" s="45"/>
      <x:c r="B229" s="42"/>
      <x:c r="C229" s="46"/>
      <x:c r="D229" s="4"/>
      <x:c r="E229" s="47" t="str">
        <x:f>IF(C229="☑ Yes",A229,"")</x:f>
      </x:c>
      <x:c r="F229" s="89" t="str">
        <x:f>IF(B229="","",COUNTIF($B$2:$B$500,"&lt;"&amp;B229)+COUNTIF($B$2:B229,B229))</x:f>
      </x:c>
      <x:c r="G229" s="89" t="str">
        <x:f>IFERROR(INDEX($B$2:$B$500,MATCH(ROWS($G$2:G229),$F$2:$F$500,0)),"")</x:f>
      </x:c>
      <x:c r="H229" s="90" t="str">
        <x:f>IFERROR(INDEX($A$2:$A$500,MATCH(G229,$B$2:$B$500,0)),"")</x:f>
      </x:c>
    </x:row>
    <x:row r="230" ht="22" customHeight="1">
      <x:c r="A230" s="45"/>
      <x:c r="B230" s="42"/>
      <x:c r="C230" s="46"/>
      <x:c r="D230" s="4"/>
      <x:c r="E230" s="47" t="str">
        <x:f>IF(C230="☑ Yes",A230,"")</x:f>
      </x:c>
      <x:c r="F230" s="89" t="str">
        <x:f>IF(B230="","",COUNTIF($B$2:$B$500,"&lt;"&amp;B230)+COUNTIF($B$2:B230,B230))</x:f>
      </x:c>
      <x:c r="G230" s="89" t="str">
        <x:f>IFERROR(INDEX($B$2:$B$500,MATCH(ROWS($G$2:G230),$F$2:$F$500,0)),"")</x:f>
      </x:c>
      <x:c r="H230" s="90" t="str">
        <x:f>IFERROR(INDEX($A$2:$A$500,MATCH(G230,$B$2:$B$500,0)),"")</x:f>
      </x:c>
    </x:row>
    <x:row r="231" ht="22" customHeight="1">
      <x:c r="A231" s="45"/>
      <x:c r="B231" s="42"/>
      <x:c r="C231" s="46"/>
      <x:c r="D231" s="4"/>
      <x:c r="E231" s="47" t="str">
        <x:f>IF(C231="☑ Yes",A231,"")</x:f>
      </x:c>
      <x:c r="F231" s="89" t="str">
        <x:f>IF(B231="","",COUNTIF($B$2:$B$500,"&lt;"&amp;B231)+COUNTIF($B$2:B231,B231))</x:f>
      </x:c>
      <x:c r="G231" s="89" t="str">
        <x:f>IFERROR(INDEX($B$2:$B$500,MATCH(ROWS($G$2:G231),$F$2:$F$500,0)),"")</x:f>
      </x:c>
      <x:c r="H231" s="90" t="str">
        <x:f>IFERROR(INDEX($A$2:$A$500,MATCH(G231,$B$2:$B$500,0)),"")</x:f>
      </x:c>
    </x:row>
    <x:row r="232" ht="22" customHeight="1">
      <x:c r="A232" s="45"/>
      <x:c r="B232" s="42"/>
      <x:c r="C232" s="46"/>
      <x:c r="D232" s="4"/>
      <x:c r="E232" s="47" t="str">
        <x:f>IF(C232="☑ Yes",A232,"")</x:f>
      </x:c>
      <x:c r="F232" s="89" t="str">
        <x:f>IF(B232="","",COUNTIF($B$2:$B$500,"&lt;"&amp;B232)+COUNTIF($B$2:B232,B232))</x:f>
      </x:c>
      <x:c r="G232" s="89" t="str">
        <x:f>IFERROR(INDEX($B$2:$B$500,MATCH(ROWS($G$2:G232),$F$2:$F$500,0)),"")</x:f>
      </x:c>
      <x:c r="H232" s="90" t="str">
        <x:f>IFERROR(INDEX($A$2:$A$500,MATCH(G232,$B$2:$B$500,0)),"")</x:f>
      </x:c>
    </x:row>
    <x:row r="233" ht="22" customHeight="1">
      <x:c r="A233" s="45"/>
      <x:c r="B233" s="42"/>
      <x:c r="C233" s="46"/>
      <x:c r="D233" s="4"/>
      <x:c r="E233" s="47" t="str">
        <x:f>IF(C233="☑ Yes",A233,"")</x:f>
      </x:c>
      <x:c r="F233" s="89" t="str">
        <x:f>IF(B233="","",COUNTIF($B$2:$B$500,"&lt;"&amp;B233)+COUNTIF($B$2:B233,B233))</x:f>
      </x:c>
      <x:c r="G233" s="89" t="str">
        <x:f>IFERROR(INDEX($B$2:$B$500,MATCH(ROWS($G$2:G233),$F$2:$F$500,0)),"")</x:f>
      </x:c>
      <x:c r="H233" s="90" t="str">
        <x:f>IFERROR(INDEX($A$2:$A$500,MATCH(G233,$B$2:$B$500,0)),"")</x:f>
      </x:c>
    </x:row>
    <x:row r="234" ht="22" customHeight="1">
      <x:c r="A234" s="45"/>
      <x:c r="B234" s="42"/>
      <x:c r="C234" s="46"/>
      <x:c r="D234" s="4"/>
      <x:c r="E234" s="47" t="str">
        <x:f>IF(C234="☑ Yes",A234,"")</x:f>
      </x:c>
      <x:c r="F234" s="89" t="str">
        <x:f>IF(B234="","",COUNTIF($B$2:$B$500,"&lt;"&amp;B234)+COUNTIF($B$2:B234,B234))</x:f>
      </x:c>
      <x:c r="G234" s="89" t="str">
        <x:f>IFERROR(INDEX($B$2:$B$500,MATCH(ROWS($G$2:G234),$F$2:$F$500,0)),"")</x:f>
      </x:c>
      <x:c r="H234" s="90" t="str">
        <x:f>IFERROR(INDEX($A$2:$A$500,MATCH(G234,$B$2:$B$500,0)),"")</x:f>
      </x:c>
    </x:row>
    <x:row r="235" ht="22" customHeight="1">
      <x:c r="A235" s="45"/>
      <x:c r="B235" s="42"/>
      <x:c r="C235" s="46"/>
      <x:c r="D235" s="4"/>
      <x:c r="E235" s="47" t="str">
        <x:f>IF(C235="☑ Yes",A235,"")</x:f>
      </x:c>
      <x:c r="F235" s="89" t="str">
        <x:f>IF(B235="","",COUNTIF($B$2:$B$500,"&lt;"&amp;B235)+COUNTIF($B$2:B235,B235))</x:f>
      </x:c>
      <x:c r="G235" s="89" t="str">
        <x:f>IFERROR(INDEX($B$2:$B$500,MATCH(ROWS($G$2:G235),$F$2:$F$500,0)),"")</x:f>
      </x:c>
      <x:c r="H235" s="90" t="str">
        <x:f>IFERROR(INDEX($A$2:$A$500,MATCH(G235,$B$2:$B$500,0)),"")</x:f>
      </x:c>
    </x:row>
    <x:row r="236" ht="22" customHeight="1">
      <x:c r="A236" s="45"/>
      <x:c r="B236" s="42"/>
      <x:c r="C236" s="46"/>
      <x:c r="D236" s="4"/>
      <x:c r="E236" s="47" t="str">
        <x:f>IF(C236="☑ Yes",A236,"")</x:f>
      </x:c>
      <x:c r="F236" s="89" t="str">
        <x:f>IF(B236="","",COUNTIF($B$2:$B$500,"&lt;"&amp;B236)+COUNTIF($B$2:B236,B236))</x:f>
      </x:c>
      <x:c r="G236" s="89" t="str">
        <x:f>IFERROR(INDEX($B$2:$B$500,MATCH(ROWS($G$2:G236),$F$2:$F$500,0)),"")</x:f>
      </x:c>
      <x:c r="H236" s="90" t="str">
        <x:f>IFERROR(INDEX($A$2:$A$500,MATCH(G236,$B$2:$B$500,0)),"")</x:f>
      </x:c>
    </x:row>
    <x:row r="237" ht="22" customHeight="1">
      <x:c r="A237" s="45"/>
      <x:c r="B237" s="42"/>
      <x:c r="C237" s="46"/>
      <x:c r="D237" s="4"/>
      <x:c r="E237" s="47" t="str">
        <x:f>IF(C237="☑ Yes",A237,"")</x:f>
      </x:c>
      <x:c r="F237" s="89" t="str">
        <x:f>IF(B237="","",COUNTIF($B$2:$B$500,"&lt;"&amp;B237)+COUNTIF($B$2:B237,B237))</x:f>
      </x:c>
      <x:c r="G237" s="89" t="str">
        <x:f>IFERROR(INDEX($B$2:$B$500,MATCH(ROWS($G$2:G237),$F$2:$F$500,0)),"")</x:f>
      </x:c>
      <x:c r="H237" s="90" t="str">
        <x:f>IFERROR(INDEX($A$2:$A$500,MATCH(G237,$B$2:$B$500,0)),"")</x:f>
      </x:c>
    </x:row>
    <x:row r="238" ht="22" customHeight="1">
      <x:c r="A238" s="45"/>
      <x:c r="B238" s="42"/>
      <x:c r="C238" s="46"/>
      <x:c r="D238" s="4"/>
      <x:c r="E238" s="47" t="str">
        <x:f>IF(C238="☑ Yes",A238,"")</x:f>
      </x:c>
      <x:c r="F238" s="89" t="str">
        <x:f>IF(B238="","",COUNTIF($B$2:$B$500,"&lt;"&amp;B238)+COUNTIF($B$2:B238,B238))</x:f>
      </x:c>
      <x:c r="G238" s="89" t="str">
        <x:f>IFERROR(INDEX($B$2:$B$500,MATCH(ROWS($G$2:G238),$F$2:$F$500,0)),"")</x:f>
      </x:c>
      <x:c r="H238" s="90" t="str">
        <x:f>IFERROR(INDEX($A$2:$A$500,MATCH(G238,$B$2:$B$500,0)),"")</x:f>
      </x:c>
    </x:row>
    <x:row r="239" ht="22" customHeight="1">
      <x:c r="A239" s="45"/>
      <x:c r="B239" s="42"/>
      <x:c r="C239" s="46"/>
      <x:c r="D239" s="4"/>
      <x:c r="E239" s="47" t="str">
        <x:f>IF(C239="☑ Yes",A239,"")</x:f>
      </x:c>
      <x:c r="F239" s="89" t="str">
        <x:f>IF(B239="","",COUNTIF($B$2:$B$500,"&lt;"&amp;B239)+COUNTIF($B$2:B239,B239))</x:f>
      </x:c>
      <x:c r="G239" s="89" t="str">
        <x:f>IFERROR(INDEX($B$2:$B$500,MATCH(ROWS($G$2:G239),$F$2:$F$500,0)),"")</x:f>
      </x:c>
      <x:c r="H239" s="90" t="str">
        <x:f>IFERROR(INDEX($A$2:$A$500,MATCH(G239,$B$2:$B$500,0)),"")</x:f>
      </x:c>
    </x:row>
    <x:row r="240" ht="22" customHeight="1">
      <x:c r="A240" s="45"/>
      <x:c r="B240" s="42"/>
      <x:c r="C240" s="46"/>
      <x:c r="D240" s="4"/>
      <x:c r="E240" s="47" t="str">
        <x:f>IF(C240="☑ Yes",A240,"")</x:f>
      </x:c>
      <x:c r="F240" s="89" t="str">
        <x:f>IF(B240="","",COUNTIF($B$2:$B$500,"&lt;"&amp;B240)+COUNTIF($B$2:B240,B240))</x:f>
      </x:c>
      <x:c r="G240" s="89" t="str">
        <x:f>IFERROR(INDEX($B$2:$B$500,MATCH(ROWS($G$2:G240),$F$2:$F$500,0)),"")</x:f>
      </x:c>
      <x:c r="H240" s="90" t="str">
        <x:f>IFERROR(INDEX($A$2:$A$500,MATCH(G240,$B$2:$B$500,0)),"")</x:f>
      </x:c>
    </x:row>
    <x:row r="241" ht="22" customHeight="1">
      <x:c r="A241" s="45"/>
      <x:c r="B241" s="42"/>
      <x:c r="C241" s="46"/>
      <x:c r="D241" s="4"/>
      <x:c r="E241" s="47" t="str">
        <x:f>IF(C241="☑ Yes",A241,"")</x:f>
      </x:c>
      <x:c r="F241" s="89" t="str">
        <x:f>IF(B241="","",COUNTIF($B$2:$B$500,"&lt;"&amp;B241)+COUNTIF($B$2:B241,B241))</x:f>
      </x:c>
      <x:c r="G241" s="89" t="str">
        <x:f>IFERROR(INDEX($B$2:$B$500,MATCH(ROWS($G$2:G241),$F$2:$F$500,0)),"")</x:f>
      </x:c>
      <x:c r="H241" s="90" t="str">
        <x:f>IFERROR(INDEX($A$2:$A$500,MATCH(G241,$B$2:$B$500,0)),"")</x:f>
      </x:c>
    </x:row>
    <x:row r="242" ht="22" customHeight="1">
      <x:c r="A242" s="45"/>
      <x:c r="B242" s="42"/>
      <x:c r="C242" s="46"/>
      <x:c r="D242" s="4"/>
      <x:c r="E242" s="47" t="str">
        <x:f>IF(C242="☑ Yes",A242,"")</x:f>
      </x:c>
      <x:c r="F242" s="89" t="str">
        <x:f>IF(B242="","",COUNTIF($B$2:$B$500,"&lt;"&amp;B242)+COUNTIF($B$2:B242,B242))</x:f>
      </x:c>
      <x:c r="G242" s="89" t="str">
        <x:f>IFERROR(INDEX($B$2:$B$500,MATCH(ROWS($G$2:G242),$F$2:$F$500,0)),"")</x:f>
      </x:c>
      <x:c r="H242" s="90" t="str">
        <x:f>IFERROR(INDEX($A$2:$A$500,MATCH(G242,$B$2:$B$500,0)),"")</x:f>
      </x:c>
    </x:row>
    <x:row r="243" ht="22" customHeight="1">
      <x:c r="A243" s="45"/>
      <x:c r="B243" s="42"/>
      <x:c r="C243" s="46"/>
      <x:c r="D243" s="4"/>
      <x:c r="E243" s="47" t="str">
        <x:f>IF(C243="☑ Yes",A243,"")</x:f>
      </x:c>
      <x:c r="F243" s="89" t="str">
        <x:f>IF(B243="","",COUNTIF($B$2:$B$500,"&lt;"&amp;B243)+COUNTIF($B$2:B243,B243))</x:f>
      </x:c>
      <x:c r="G243" s="89" t="str">
        <x:f>IFERROR(INDEX($B$2:$B$500,MATCH(ROWS($G$2:G243),$F$2:$F$500,0)),"")</x:f>
      </x:c>
      <x:c r="H243" s="90" t="str">
        <x:f>IFERROR(INDEX($A$2:$A$500,MATCH(G243,$B$2:$B$500,0)),"")</x:f>
      </x:c>
    </x:row>
    <x:row r="244" ht="22" customHeight="1">
      <x:c r="A244" s="45"/>
      <x:c r="B244" s="42"/>
      <x:c r="C244" s="46"/>
      <x:c r="D244" s="4"/>
      <x:c r="E244" s="47" t="str">
        <x:f>IF(C244="☑ Yes",A244,"")</x:f>
      </x:c>
      <x:c r="F244" s="89" t="str">
        <x:f>IF(B244="","",COUNTIF($B$2:$B$500,"&lt;"&amp;B244)+COUNTIF($B$2:B244,B244))</x:f>
      </x:c>
      <x:c r="G244" s="89" t="str">
        <x:f>IFERROR(INDEX($B$2:$B$500,MATCH(ROWS($G$2:G244),$F$2:$F$500,0)),"")</x:f>
      </x:c>
      <x:c r="H244" s="90" t="str">
        <x:f>IFERROR(INDEX($A$2:$A$500,MATCH(G244,$B$2:$B$500,0)),"")</x:f>
      </x:c>
    </x:row>
    <x:row r="245" ht="22" customHeight="1">
      <x:c r="A245" s="45"/>
      <x:c r="B245" s="42"/>
      <x:c r="C245" s="46"/>
      <x:c r="D245" s="4"/>
      <x:c r="E245" s="47" t="str">
        <x:f>IF(C245="☑ Yes",A245,"")</x:f>
      </x:c>
      <x:c r="F245" s="89" t="str">
        <x:f>IF(B245="","",COUNTIF($B$2:$B$500,"&lt;"&amp;B245)+COUNTIF($B$2:B245,B245))</x:f>
      </x:c>
      <x:c r="G245" s="89" t="str">
        <x:f>IFERROR(INDEX($B$2:$B$500,MATCH(ROWS($G$2:G245),$F$2:$F$500,0)),"")</x:f>
      </x:c>
      <x:c r="H245" s="90" t="str">
        <x:f>IFERROR(INDEX($A$2:$A$500,MATCH(G245,$B$2:$B$500,0)),"")</x:f>
      </x:c>
    </x:row>
    <x:row r="246" ht="22" customHeight="1">
      <x:c r="A246" s="45"/>
      <x:c r="B246" s="42"/>
      <x:c r="C246" s="46"/>
      <x:c r="D246" s="4"/>
      <x:c r="E246" s="47" t="str">
        <x:f>IF(C246="☑ Yes",A246,"")</x:f>
      </x:c>
      <x:c r="F246" s="89" t="str">
        <x:f>IF(B246="","",COUNTIF($B$2:$B$500,"&lt;"&amp;B246)+COUNTIF($B$2:B246,B246))</x:f>
      </x:c>
      <x:c r="G246" s="89" t="str">
        <x:f>IFERROR(INDEX($B$2:$B$500,MATCH(ROWS($G$2:G246),$F$2:$F$500,0)),"")</x:f>
      </x:c>
      <x:c r="H246" s="90" t="str">
        <x:f>IFERROR(INDEX($A$2:$A$500,MATCH(G246,$B$2:$B$500,0)),"")</x:f>
      </x:c>
    </x:row>
    <x:row r="247" ht="22" customHeight="1">
      <x:c r="A247" s="45"/>
      <x:c r="B247" s="42"/>
      <x:c r="C247" s="46"/>
      <x:c r="D247" s="4"/>
      <x:c r="E247" s="47" t="str">
        <x:f>IF(C247="☑ Yes",A247,"")</x:f>
      </x:c>
      <x:c r="F247" s="89" t="str">
        <x:f>IF(B247="","",COUNTIF($B$2:$B$500,"&lt;"&amp;B247)+COUNTIF($B$2:B247,B247))</x:f>
      </x:c>
      <x:c r="G247" s="89" t="str">
        <x:f>IFERROR(INDEX($B$2:$B$500,MATCH(ROWS($G$2:G247),$F$2:$F$500,0)),"")</x:f>
      </x:c>
      <x:c r="H247" s="90" t="str">
        <x:f>IFERROR(INDEX($A$2:$A$500,MATCH(G247,$B$2:$B$500,0)),"")</x:f>
      </x:c>
    </x:row>
    <x:row r="248" ht="22" customHeight="1">
      <x:c r="A248" s="45"/>
      <x:c r="B248" s="42"/>
      <x:c r="C248" s="46"/>
      <x:c r="D248" s="4"/>
      <x:c r="E248" s="47" t="str">
        <x:f>IF(C248="☑ Yes",A248,"")</x:f>
      </x:c>
      <x:c r="F248" s="89" t="str">
        <x:f>IF(B248="","",COUNTIF($B$2:$B$500,"&lt;"&amp;B248)+COUNTIF($B$2:B248,B248))</x:f>
      </x:c>
      <x:c r="G248" s="89" t="str">
        <x:f>IFERROR(INDEX($B$2:$B$500,MATCH(ROWS($G$2:G248),$F$2:$F$500,0)),"")</x:f>
      </x:c>
      <x:c r="H248" s="90" t="str">
        <x:f>IFERROR(INDEX($A$2:$A$500,MATCH(G248,$B$2:$B$500,0)),"")</x:f>
      </x:c>
    </x:row>
    <x:row r="249" ht="22" customHeight="1">
      <x:c r="A249" s="45"/>
      <x:c r="B249" s="42"/>
      <x:c r="C249" s="46"/>
      <x:c r="D249" s="4"/>
      <x:c r="E249" s="47" t="str">
        <x:f>IF(C249="☑ Yes",A249,"")</x:f>
      </x:c>
      <x:c r="F249" s="89" t="str">
        <x:f>IF(B249="","",COUNTIF($B$2:$B$500,"&lt;"&amp;B249)+COUNTIF($B$2:B249,B249))</x:f>
      </x:c>
      <x:c r="G249" s="89" t="str">
        <x:f>IFERROR(INDEX($B$2:$B$500,MATCH(ROWS($G$2:G249),$F$2:$F$500,0)),"")</x:f>
      </x:c>
      <x:c r="H249" s="90" t="str">
        <x:f>IFERROR(INDEX($A$2:$A$500,MATCH(G249,$B$2:$B$500,0)),"")</x:f>
      </x:c>
    </x:row>
    <x:row r="250" ht="22" customHeight="1">
      <x:c r="A250" s="45"/>
      <x:c r="B250" s="42"/>
      <x:c r="C250" s="46"/>
      <x:c r="D250" s="4"/>
      <x:c r="E250" s="47" t="str">
        <x:f>IF(C250="☑ Yes",A250,"")</x:f>
      </x:c>
      <x:c r="F250" s="89" t="str">
        <x:f>IF(B250="","",COUNTIF($B$2:$B$500,"&lt;"&amp;B250)+COUNTIF($B$2:B250,B250))</x:f>
      </x:c>
      <x:c r="G250" s="89" t="str">
        <x:f>IFERROR(INDEX($B$2:$B$500,MATCH(ROWS($G$2:G250),$F$2:$F$500,0)),"")</x:f>
      </x:c>
      <x:c r="H250" s="90" t="str">
        <x:f>IFERROR(INDEX($A$2:$A$500,MATCH(G250,$B$2:$B$500,0)),"")</x:f>
      </x:c>
    </x:row>
    <x:row r="251" ht="22" customHeight="1">
      <x:c r="A251" s="45"/>
      <x:c r="B251" s="42"/>
      <x:c r="C251" s="46"/>
      <x:c r="D251" s="4"/>
      <x:c r="E251" s="47" t="str">
        <x:f>IF(C251="☑ Yes",A251,"")</x:f>
      </x:c>
      <x:c r="F251" s="89" t="str">
        <x:f>IF(B251="","",COUNTIF($B$2:$B$500,"&lt;"&amp;B251)+COUNTIF($B$2:B251,B251))</x:f>
      </x:c>
      <x:c r="G251" s="89" t="str">
        <x:f>IFERROR(INDEX($B$2:$B$500,MATCH(ROWS($G$2:G251),$F$2:$F$500,0)),"")</x:f>
      </x:c>
      <x:c r="H251" s="90" t="str">
        <x:f>IFERROR(INDEX($A$2:$A$500,MATCH(G251,$B$2:$B$500,0)),"")</x:f>
      </x:c>
    </x:row>
    <x:row r="252" ht="22" customHeight="1">
      <x:c r="A252" s="45"/>
      <x:c r="B252" s="42"/>
      <x:c r="C252" s="46"/>
      <x:c r="D252" s="4"/>
      <x:c r="E252" s="47" t="str">
        <x:f>IF(C252="☑ Yes",A252,"")</x:f>
      </x:c>
      <x:c r="F252" s="89" t="str">
        <x:f>IF(B252="","",COUNTIF($B$2:$B$500,"&lt;"&amp;B252)+COUNTIF($B$2:B252,B252))</x:f>
      </x:c>
      <x:c r="G252" s="89" t="str">
        <x:f>IFERROR(INDEX($B$2:$B$500,MATCH(ROWS($G$2:G252),$F$2:$F$500,0)),"")</x:f>
      </x:c>
      <x:c r="H252" s="90" t="str">
        <x:f>IFERROR(INDEX($A$2:$A$500,MATCH(G252,$B$2:$B$500,0)),"")</x:f>
      </x:c>
    </x:row>
    <x:row r="253" ht="22" customHeight="1">
      <x:c r="A253" s="45"/>
      <x:c r="B253" s="42"/>
      <x:c r="C253" s="46"/>
      <x:c r="D253" s="4"/>
      <x:c r="E253" s="47" t="str">
        <x:f>IF(C253="☑ Yes",A253,"")</x:f>
      </x:c>
      <x:c r="F253" s="89" t="str">
        <x:f>IF(B253="","",COUNTIF($B$2:$B$500,"&lt;"&amp;B253)+COUNTIF($B$2:B253,B253))</x:f>
      </x:c>
      <x:c r="G253" s="89" t="str">
        <x:f>IFERROR(INDEX($B$2:$B$500,MATCH(ROWS($G$2:G253),$F$2:$F$500,0)),"")</x:f>
      </x:c>
      <x:c r="H253" s="90" t="str">
        <x:f>IFERROR(INDEX($A$2:$A$500,MATCH(G253,$B$2:$B$500,0)),"")</x:f>
      </x:c>
    </x:row>
    <x:row r="254" ht="22" customHeight="1">
      <x:c r="A254" s="45"/>
      <x:c r="B254" s="42"/>
      <x:c r="C254" s="46"/>
      <x:c r="D254" s="4"/>
      <x:c r="E254" s="47" t="str">
        <x:f>IF(C254="☑ Yes",A254,"")</x:f>
      </x:c>
      <x:c r="F254" s="89" t="str">
        <x:f>IF(B254="","",COUNTIF($B$2:$B$500,"&lt;"&amp;B254)+COUNTIF($B$2:B254,B254))</x:f>
      </x:c>
      <x:c r="G254" s="89" t="str">
        <x:f>IFERROR(INDEX($B$2:$B$500,MATCH(ROWS($G$2:G254),$F$2:$F$500,0)),"")</x:f>
      </x:c>
      <x:c r="H254" s="90" t="str">
        <x:f>IFERROR(INDEX($A$2:$A$500,MATCH(G254,$B$2:$B$500,0)),"")</x:f>
      </x:c>
    </x:row>
    <x:row r="255" ht="22" customHeight="1">
      <x:c r="A255" s="45"/>
      <x:c r="B255" s="42"/>
      <x:c r="C255" s="46"/>
      <x:c r="D255" s="4"/>
      <x:c r="E255" s="47" t="str">
        <x:f>IF(C255="☑ Yes",A255,"")</x:f>
      </x:c>
      <x:c r="F255" s="89" t="str">
        <x:f>IF(B255="","",COUNTIF($B$2:$B$500,"&lt;"&amp;B255)+COUNTIF($B$2:B255,B255))</x:f>
      </x:c>
      <x:c r="G255" s="89" t="str">
        <x:f>IFERROR(INDEX($B$2:$B$500,MATCH(ROWS($G$2:G255),$F$2:$F$500,0)),"")</x:f>
      </x:c>
      <x:c r="H255" s="90" t="str">
        <x:f>IFERROR(INDEX($A$2:$A$500,MATCH(G255,$B$2:$B$500,0)),"")</x:f>
      </x:c>
    </x:row>
    <x:row r="256" ht="22" customHeight="1">
      <x:c r="A256" s="45"/>
      <x:c r="B256" s="42"/>
      <x:c r="C256" s="46"/>
      <x:c r="D256" s="4"/>
      <x:c r="E256" s="47" t="str">
        <x:f>IF(C256="☑ Yes",A256,"")</x:f>
      </x:c>
      <x:c r="F256" s="89" t="str">
        <x:f>IF(B256="","",COUNTIF($B$2:$B$500,"&lt;"&amp;B256)+COUNTIF($B$2:B256,B256))</x:f>
      </x:c>
      <x:c r="G256" s="89" t="str">
        <x:f>IFERROR(INDEX($B$2:$B$500,MATCH(ROWS($G$2:G256),$F$2:$F$500,0)),"")</x:f>
      </x:c>
      <x:c r="H256" s="90" t="str">
        <x:f>IFERROR(INDEX($A$2:$A$500,MATCH(G256,$B$2:$B$500,0)),"")</x:f>
      </x:c>
    </x:row>
    <x:row r="257" ht="22" customHeight="1">
      <x:c r="A257" s="45"/>
      <x:c r="B257" s="42"/>
      <x:c r="C257" s="46"/>
      <x:c r="D257" s="4"/>
      <x:c r="E257" s="47" t="str">
        <x:f>IF(C257="☑ Yes",A257,"")</x:f>
      </x:c>
      <x:c r="F257" s="89" t="str">
        <x:f>IF(B257="","",COUNTIF($B$2:$B$500,"&lt;"&amp;B257)+COUNTIF($B$2:B257,B257))</x:f>
      </x:c>
      <x:c r="G257" s="89" t="str">
        <x:f>IFERROR(INDEX($B$2:$B$500,MATCH(ROWS($G$2:G257),$F$2:$F$500,0)),"")</x:f>
      </x:c>
      <x:c r="H257" s="90" t="str">
        <x:f>IFERROR(INDEX($A$2:$A$500,MATCH(G257,$B$2:$B$500,0)),"")</x:f>
      </x:c>
    </x:row>
    <x:row r="258" ht="22" customHeight="1">
      <x:c r="A258" s="45"/>
      <x:c r="B258" s="42"/>
      <x:c r="C258" s="46"/>
      <x:c r="D258" s="4"/>
      <x:c r="E258" s="47" t="str">
        <x:f>IF(C258="☑ Yes",A258,"")</x:f>
      </x:c>
      <x:c r="F258" s="89" t="str">
        <x:f>IF(B258="","",COUNTIF($B$2:$B$500,"&lt;"&amp;B258)+COUNTIF($B$2:B258,B258))</x:f>
      </x:c>
      <x:c r="G258" s="89" t="str">
        <x:f>IFERROR(INDEX($B$2:$B$500,MATCH(ROWS($G$2:G258),$F$2:$F$500,0)),"")</x:f>
      </x:c>
      <x:c r="H258" s="90" t="str">
        <x:f>IFERROR(INDEX($A$2:$A$500,MATCH(G258,$B$2:$B$500,0)),"")</x:f>
      </x:c>
    </x:row>
    <x:row r="259" ht="22" customHeight="1">
      <x:c r="A259" s="45"/>
      <x:c r="B259" s="42"/>
      <x:c r="C259" s="46"/>
      <x:c r="D259" s="4"/>
      <x:c r="E259" s="47" t="str">
        <x:f>IF(C259="☑ Yes",A259,"")</x:f>
      </x:c>
      <x:c r="F259" s="89" t="str">
        <x:f>IF(B259="","",COUNTIF($B$2:$B$500,"&lt;"&amp;B259)+COUNTIF($B$2:B259,B259))</x:f>
      </x:c>
      <x:c r="G259" s="89" t="str">
        <x:f>IFERROR(INDEX($B$2:$B$500,MATCH(ROWS($G$2:G259),$F$2:$F$500,0)),"")</x:f>
      </x:c>
      <x:c r="H259" s="90" t="str">
        <x:f>IFERROR(INDEX($A$2:$A$500,MATCH(G259,$B$2:$B$500,0)),"")</x:f>
      </x:c>
    </x:row>
    <x:row r="260" ht="22" customHeight="1">
      <x:c r="A260" s="45"/>
      <x:c r="B260" s="42"/>
      <x:c r="C260" s="46"/>
      <x:c r="D260" s="4"/>
      <x:c r="E260" s="47" t="str">
        <x:f>IF(C260="☑ Yes",A260,"")</x:f>
      </x:c>
      <x:c r="F260" s="89" t="str">
        <x:f>IF(B260="","",COUNTIF($B$2:$B$500,"&lt;"&amp;B260)+COUNTIF($B$2:B260,B260))</x:f>
      </x:c>
      <x:c r="G260" s="89" t="str">
        <x:f>IFERROR(INDEX($B$2:$B$500,MATCH(ROWS($G$2:G260),$F$2:$F$500,0)),"")</x:f>
      </x:c>
      <x:c r="H260" s="90" t="str">
        <x:f>IFERROR(INDEX($A$2:$A$500,MATCH(G260,$B$2:$B$500,0)),"")</x:f>
      </x:c>
    </x:row>
    <x:row r="261" ht="22" customHeight="1">
      <x:c r="A261" s="45"/>
      <x:c r="B261" s="42"/>
      <x:c r="C261" s="46"/>
      <x:c r="D261" s="4"/>
      <x:c r="E261" s="47" t="str">
        <x:f>IF(C261="☑ Yes",A261,"")</x:f>
      </x:c>
      <x:c r="F261" s="89" t="str">
        <x:f>IF(B261="","",COUNTIF($B$2:$B$500,"&lt;"&amp;B261)+COUNTIF($B$2:B261,B261))</x:f>
      </x:c>
      <x:c r="G261" s="89" t="str">
        <x:f>IFERROR(INDEX($B$2:$B$500,MATCH(ROWS($G$2:G261),$F$2:$F$500,0)),"")</x:f>
      </x:c>
      <x:c r="H261" s="90" t="str">
        <x:f>IFERROR(INDEX($A$2:$A$500,MATCH(G261,$B$2:$B$500,0)),"")</x:f>
      </x:c>
    </x:row>
    <x:row r="262" ht="22" customHeight="1">
      <x:c r="A262" s="45"/>
      <x:c r="B262" s="42"/>
      <x:c r="C262" s="46"/>
      <x:c r="D262" s="4"/>
      <x:c r="E262" s="47" t="str">
        <x:f>IF(C262="☑ Yes",A262,"")</x:f>
      </x:c>
      <x:c r="F262" s="89" t="str">
        <x:f>IF(B262="","",COUNTIF($B$2:$B$500,"&lt;"&amp;B262)+COUNTIF($B$2:B262,B262))</x:f>
      </x:c>
      <x:c r="G262" s="89" t="str">
        <x:f>IFERROR(INDEX($B$2:$B$500,MATCH(ROWS($G$2:G262),$F$2:$F$500,0)),"")</x:f>
      </x:c>
      <x:c r="H262" s="90" t="str">
        <x:f>IFERROR(INDEX($A$2:$A$500,MATCH(G262,$B$2:$B$500,0)),"")</x:f>
      </x:c>
    </x:row>
    <x:row r="263" ht="22" customHeight="1">
      <x:c r="A263" s="45"/>
      <x:c r="B263" s="42"/>
      <x:c r="C263" s="46"/>
      <x:c r="D263" s="4"/>
      <x:c r="E263" s="47" t="str">
        <x:f>IF(C263="☑ Yes",A263,"")</x:f>
      </x:c>
      <x:c r="F263" s="89" t="str">
        <x:f>IF(B263="","",COUNTIF($B$2:$B$500,"&lt;"&amp;B263)+COUNTIF($B$2:B263,B263))</x:f>
      </x:c>
      <x:c r="G263" s="89" t="str">
        <x:f>IFERROR(INDEX($B$2:$B$500,MATCH(ROWS($G$2:G263),$F$2:$F$500,0)),"")</x:f>
      </x:c>
      <x:c r="H263" s="90" t="str">
        <x:f>IFERROR(INDEX($A$2:$A$500,MATCH(G263,$B$2:$B$500,0)),"")</x:f>
      </x:c>
    </x:row>
    <x:row r="264" ht="22" customHeight="1">
      <x:c r="A264" s="45"/>
      <x:c r="B264" s="42"/>
      <x:c r="C264" s="46"/>
      <x:c r="D264" s="4"/>
      <x:c r="E264" s="47" t="str">
        <x:f>IF(C264="☑ Yes",A264,"")</x:f>
      </x:c>
      <x:c r="F264" s="89" t="str">
        <x:f>IF(B264="","",COUNTIF($B$2:$B$500,"&lt;"&amp;B264)+COUNTIF($B$2:B264,B264))</x:f>
      </x:c>
      <x:c r="G264" s="89" t="str">
        <x:f>IFERROR(INDEX($B$2:$B$500,MATCH(ROWS($G$2:G264),$F$2:$F$500,0)),"")</x:f>
      </x:c>
      <x:c r="H264" s="90" t="str">
        <x:f>IFERROR(INDEX($A$2:$A$500,MATCH(G264,$B$2:$B$500,0)),"")</x:f>
      </x:c>
    </x:row>
    <x:row r="265" ht="22" customHeight="1">
      <x:c r="A265" s="45"/>
      <x:c r="B265" s="42"/>
      <x:c r="C265" s="46"/>
      <x:c r="D265" s="4"/>
      <x:c r="E265" s="47" t="str">
        <x:f>IF(C265="☑ Yes",A265,"")</x:f>
      </x:c>
      <x:c r="F265" s="89" t="str">
        <x:f>IF(B265="","",COUNTIF($B$2:$B$500,"&lt;"&amp;B265)+COUNTIF($B$2:B265,B265))</x:f>
      </x:c>
      <x:c r="G265" s="89" t="str">
        <x:f>IFERROR(INDEX($B$2:$B$500,MATCH(ROWS($G$2:G265),$F$2:$F$500,0)),"")</x:f>
      </x:c>
      <x:c r="H265" s="90" t="str">
        <x:f>IFERROR(INDEX($A$2:$A$500,MATCH(G265,$B$2:$B$500,0)),"")</x:f>
      </x:c>
    </x:row>
    <x:row r="266" ht="22" customHeight="1">
      <x:c r="A266" s="45"/>
      <x:c r="B266" s="42"/>
      <x:c r="C266" s="46"/>
      <x:c r="D266" s="4"/>
      <x:c r="E266" s="47" t="str">
        <x:f>IF(C266="☑ Yes",A266,"")</x:f>
      </x:c>
      <x:c r="F266" s="89" t="str">
        <x:f>IF(B266="","",COUNTIF($B$2:$B$500,"&lt;"&amp;B266)+COUNTIF($B$2:B266,B266))</x:f>
      </x:c>
      <x:c r="G266" s="89" t="str">
        <x:f>IFERROR(INDEX($B$2:$B$500,MATCH(ROWS($G$2:G266),$F$2:$F$500,0)),"")</x:f>
      </x:c>
      <x:c r="H266" s="90" t="str">
        <x:f>IFERROR(INDEX($A$2:$A$500,MATCH(G266,$B$2:$B$500,0)),"")</x:f>
      </x:c>
    </x:row>
    <x:row r="267" ht="22" customHeight="1">
      <x:c r="A267" s="45"/>
      <x:c r="B267" s="42"/>
      <x:c r="C267" s="46"/>
      <x:c r="D267" s="4"/>
      <x:c r="E267" s="47" t="str">
        <x:f>IF(C267="☑ Yes",A267,"")</x:f>
      </x:c>
      <x:c r="F267" s="89" t="str">
        <x:f>IF(B267="","",COUNTIF($B$2:$B$500,"&lt;"&amp;B267)+COUNTIF($B$2:B267,B267))</x:f>
      </x:c>
      <x:c r="G267" s="89" t="str">
        <x:f>IFERROR(INDEX($B$2:$B$500,MATCH(ROWS($G$2:G267),$F$2:$F$500,0)),"")</x:f>
      </x:c>
      <x:c r="H267" s="90" t="str">
        <x:f>IFERROR(INDEX($A$2:$A$500,MATCH(G267,$B$2:$B$500,0)),"")</x:f>
      </x:c>
    </x:row>
    <x:row r="268" ht="22" customHeight="1">
      <x:c r="A268" s="45"/>
      <x:c r="B268" s="42"/>
      <x:c r="C268" s="46"/>
      <x:c r="D268" s="4"/>
      <x:c r="E268" s="47" t="str">
        <x:f>IF(C268="☑ Yes",A268,"")</x:f>
      </x:c>
      <x:c r="F268" s="89" t="str">
        <x:f>IF(B268="","",COUNTIF($B$2:$B$500,"&lt;"&amp;B268)+COUNTIF($B$2:B268,B268))</x:f>
      </x:c>
      <x:c r="G268" s="89" t="str">
        <x:f>IFERROR(INDEX($B$2:$B$500,MATCH(ROWS($G$2:G268),$F$2:$F$500,0)),"")</x:f>
      </x:c>
      <x:c r="H268" s="90" t="str">
        <x:f>IFERROR(INDEX($A$2:$A$500,MATCH(G268,$B$2:$B$500,0)),"")</x:f>
      </x:c>
    </x:row>
    <x:row r="269" ht="22" customHeight="1">
      <x:c r="A269" s="45"/>
      <x:c r="B269" s="42"/>
      <x:c r="C269" s="46"/>
      <x:c r="D269" s="4"/>
      <x:c r="E269" s="47" t="str">
        <x:f>IF(C269="☑ Yes",A269,"")</x:f>
      </x:c>
      <x:c r="F269" s="89" t="str">
        <x:f>IF(B269="","",COUNTIF($B$2:$B$500,"&lt;"&amp;B269)+COUNTIF($B$2:B269,B269))</x:f>
      </x:c>
      <x:c r="G269" s="89" t="str">
        <x:f>IFERROR(INDEX($B$2:$B$500,MATCH(ROWS($G$2:G269),$F$2:$F$500,0)),"")</x:f>
      </x:c>
      <x:c r="H269" s="90" t="str">
        <x:f>IFERROR(INDEX($A$2:$A$500,MATCH(G269,$B$2:$B$500,0)),"")</x:f>
      </x:c>
    </x:row>
    <x:row r="270" ht="22" customHeight="1">
      <x:c r="A270" s="45"/>
      <x:c r="B270" s="42"/>
      <x:c r="C270" s="46"/>
      <x:c r="D270" s="4"/>
      <x:c r="E270" s="47" t="str">
        <x:f>IF(C270="☑ Yes",A270,"")</x:f>
      </x:c>
      <x:c r="F270" s="89" t="str">
        <x:f>IF(B270="","",COUNTIF($B$2:$B$500,"&lt;"&amp;B270)+COUNTIF($B$2:B270,B270))</x:f>
      </x:c>
      <x:c r="G270" s="89" t="str">
        <x:f>IFERROR(INDEX($B$2:$B$500,MATCH(ROWS($G$2:G270),$F$2:$F$500,0)),"")</x:f>
      </x:c>
      <x:c r="H270" s="90" t="str">
        <x:f>IFERROR(INDEX($A$2:$A$500,MATCH(G270,$B$2:$B$500,0)),"")</x:f>
      </x:c>
    </x:row>
    <x:row r="271" ht="22" customHeight="1">
      <x:c r="A271" s="45"/>
      <x:c r="B271" s="42"/>
      <x:c r="C271" s="46"/>
      <x:c r="D271" s="4"/>
      <x:c r="E271" s="47" t="str">
        <x:f>IF(C271="☑ Yes",A271,"")</x:f>
      </x:c>
      <x:c r="F271" s="89" t="str">
        <x:f>IF(B271="","",COUNTIF($B$2:$B$500,"&lt;"&amp;B271)+COUNTIF($B$2:B271,B271))</x:f>
      </x:c>
      <x:c r="G271" s="89" t="str">
        <x:f>IFERROR(INDEX($B$2:$B$500,MATCH(ROWS($G$2:G271),$F$2:$F$500,0)),"")</x:f>
      </x:c>
      <x:c r="H271" s="90" t="str">
        <x:f>IFERROR(INDEX($A$2:$A$500,MATCH(G271,$B$2:$B$500,0)),"")</x:f>
      </x:c>
    </x:row>
    <x:row r="272" ht="22" customHeight="1">
      <x:c r="A272" s="45"/>
      <x:c r="B272" s="42"/>
      <x:c r="C272" s="46"/>
      <x:c r="D272" s="4"/>
      <x:c r="E272" s="47" t="str">
        <x:f>IF(C272="☑ Yes",A272,"")</x:f>
      </x:c>
      <x:c r="F272" s="89" t="str">
        <x:f>IF(B272="","",COUNTIF($B$2:$B$500,"&lt;"&amp;B272)+COUNTIF($B$2:B272,B272))</x:f>
      </x:c>
      <x:c r="G272" s="89" t="str">
        <x:f>IFERROR(INDEX($B$2:$B$500,MATCH(ROWS($G$2:G272),$F$2:$F$500,0)),"")</x:f>
      </x:c>
      <x:c r="H272" s="90" t="str">
        <x:f>IFERROR(INDEX($A$2:$A$500,MATCH(G272,$B$2:$B$500,0)),"")</x:f>
      </x:c>
    </x:row>
    <x:row r="273" ht="22" customHeight="1">
      <x:c r="A273" s="45"/>
      <x:c r="B273" s="42"/>
      <x:c r="C273" s="46"/>
      <x:c r="D273" s="4"/>
      <x:c r="E273" s="47" t="str">
        <x:f>IF(C273="☑ Yes",A273,"")</x:f>
      </x:c>
      <x:c r="F273" s="89" t="str">
        <x:f>IF(B273="","",COUNTIF($B$2:$B$500,"&lt;"&amp;B273)+COUNTIF($B$2:B273,B273))</x:f>
      </x:c>
      <x:c r="G273" s="89" t="str">
        <x:f>IFERROR(INDEX($B$2:$B$500,MATCH(ROWS($G$2:G273),$F$2:$F$500,0)),"")</x:f>
      </x:c>
      <x:c r="H273" s="90" t="str">
        <x:f>IFERROR(INDEX($A$2:$A$500,MATCH(G273,$B$2:$B$500,0)),"")</x:f>
      </x:c>
    </x:row>
    <x:row r="274" ht="22" customHeight="1">
      <x:c r="A274" s="45"/>
      <x:c r="B274" s="42"/>
      <x:c r="C274" s="46"/>
      <x:c r="D274" s="4"/>
      <x:c r="E274" s="47" t="str">
        <x:f>IF(C274="☑ Yes",A274,"")</x:f>
      </x:c>
      <x:c r="F274" s="89" t="str">
        <x:f>IF(B274="","",COUNTIF($B$2:$B$500,"&lt;"&amp;B274)+COUNTIF($B$2:B274,B274))</x:f>
      </x:c>
      <x:c r="G274" s="89" t="str">
        <x:f>IFERROR(INDEX($B$2:$B$500,MATCH(ROWS($G$2:G274),$F$2:$F$500,0)),"")</x:f>
      </x:c>
      <x:c r="H274" s="90" t="str">
        <x:f>IFERROR(INDEX($A$2:$A$500,MATCH(G274,$B$2:$B$500,0)),"")</x:f>
      </x:c>
    </x:row>
    <x:row r="275" ht="22" customHeight="1">
      <x:c r="A275" s="45"/>
      <x:c r="B275" s="42"/>
      <x:c r="C275" s="46"/>
      <x:c r="D275" s="4"/>
      <x:c r="E275" s="47" t="str">
        <x:f>IF(C275="☑ Yes",A275,"")</x:f>
      </x:c>
      <x:c r="F275" s="89" t="str">
        <x:f>IF(B275="","",COUNTIF($B$2:$B$500,"&lt;"&amp;B275)+COUNTIF($B$2:B275,B275))</x:f>
      </x:c>
      <x:c r="G275" s="89" t="str">
        <x:f>IFERROR(INDEX($B$2:$B$500,MATCH(ROWS($G$2:G275),$F$2:$F$500,0)),"")</x:f>
      </x:c>
      <x:c r="H275" s="90" t="str">
        <x:f>IFERROR(INDEX($A$2:$A$500,MATCH(G275,$B$2:$B$500,0)),"")</x:f>
      </x:c>
    </x:row>
    <x:row r="276" ht="22" customHeight="1">
      <x:c r="A276" s="45"/>
      <x:c r="B276" s="42"/>
      <x:c r="C276" s="46"/>
      <x:c r="D276" s="4"/>
      <x:c r="E276" s="47" t="str">
        <x:f>IF(C276="☑ Yes",A276,"")</x:f>
      </x:c>
      <x:c r="F276" s="89" t="str">
        <x:f>IF(B276="","",COUNTIF($B$2:$B$500,"&lt;"&amp;B276)+COUNTIF($B$2:B276,B276))</x:f>
      </x:c>
      <x:c r="G276" s="89" t="str">
        <x:f>IFERROR(INDEX($B$2:$B$500,MATCH(ROWS($G$2:G276),$F$2:$F$500,0)),"")</x:f>
      </x:c>
      <x:c r="H276" s="90" t="str">
        <x:f>IFERROR(INDEX($A$2:$A$500,MATCH(G276,$B$2:$B$500,0)),"")</x:f>
      </x:c>
    </x:row>
    <x:row r="277" ht="22" customHeight="1">
      <x:c r="A277" s="45"/>
      <x:c r="B277" s="42"/>
      <x:c r="C277" s="46"/>
      <x:c r="D277" s="4"/>
      <x:c r="E277" s="47" t="str">
        <x:f>IF(C277="☑ Yes",A277,"")</x:f>
      </x:c>
      <x:c r="F277" s="89" t="str">
        <x:f>IF(B277="","",COUNTIF($B$2:$B$500,"&lt;"&amp;B277)+COUNTIF($B$2:B277,B277))</x:f>
      </x:c>
      <x:c r="G277" s="89" t="str">
        <x:f>IFERROR(INDEX($B$2:$B$500,MATCH(ROWS($G$2:G277),$F$2:$F$500,0)),"")</x:f>
      </x:c>
      <x:c r="H277" s="90" t="str">
        <x:f>IFERROR(INDEX($A$2:$A$500,MATCH(G277,$B$2:$B$500,0)),"")</x:f>
      </x:c>
    </x:row>
    <x:row r="278" ht="22" customHeight="1">
      <x:c r="A278" s="45"/>
      <x:c r="B278" s="42"/>
      <x:c r="C278" s="46"/>
      <x:c r="D278" s="4"/>
      <x:c r="E278" s="47" t="str">
        <x:f>IF(C278="☑ Yes",A278,"")</x:f>
      </x:c>
      <x:c r="F278" s="89" t="str">
        <x:f>IF(B278="","",COUNTIF($B$2:$B$500,"&lt;"&amp;B278)+COUNTIF($B$2:B278,B278))</x:f>
      </x:c>
      <x:c r="G278" s="89" t="str">
        <x:f>IFERROR(INDEX($B$2:$B$500,MATCH(ROWS($G$2:G278),$F$2:$F$500,0)),"")</x:f>
      </x:c>
      <x:c r="H278" s="90" t="str">
        <x:f>IFERROR(INDEX($A$2:$A$500,MATCH(G278,$B$2:$B$500,0)),"")</x:f>
      </x:c>
    </x:row>
    <x:row r="279" ht="22" customHeight="1">
      <x:c r="A279" s="45"/>
      <x:c r="B279" s="42"/>
      <x:c r="C279" s="46"/>
      <x:c r="D279" s="4"/>
      <x:c r="E279" s="47" t="str">
        <x:f>IF(C279="☑ Yes",A279,"")</x:f>
      </x:c>
      <x:c r="F279" s="89" t="str">
        <x:f>IF(B279="","",COUNTIF($B$2:$B$500,"&lt;"&amp;B279)+COUNTIF($B$2:B279,B279))</x:f>
      </x:c>
      <x:c r="G279" s="89" t="str">
        <x:f>IFERROR(INDEX($B$2:$B$500,MATCH(ROWS($G$2:G279),$F$2:$F$500,0)),"")</x:f>
      </x:c>
      <x:c r="H279" s="90" t="str">
        <x:f>IFERROR(INDEX($A$2:$A$500,MATCH(G279,$B$2:$B$500,0)),"")</x:f>
      </x:c>
    </x:row>
    <x:row r="280" ht="22" customHeight="1">
      <x:c r="A280" s="45"/>
      <x:c r="B280" s="42"/>
      <x:c r="C280" s="46"/>
      <x:c r="D280" s="4"/>
      <x:c r="E280" s="47" t="str">
        <x:f>IF(C280="☑ Yes",A280,"")</x:f>
      </x:c>
      <x:c r="F280" s="89" t="str">
        <x:f>IF(B280="","",COUNTIF($B$2:$B$500,"&lt;"&amp;B280)+COUNTIF($B$2:B280,B280))</x:f>
      </x:c>
      <x:c r="G280" s="89" t="str">
        <x:f>IFERROR(INDEX($B$2:$B$500,MATCH(ROWS($G$2:G280),$F$2:$F$500,0)),"")</x:f>
      </x:c>
      <x:c r="H280" s="90" t="str">
        <x:f>IFERROR(INDEX($A$2:$A$500,MATCH(G280,$B$2:$B$500,0)),"")</x:f>
      </x:c>
    </x:row>
    <x:row r="281" ht="22" customHeight="1">
      <x:c r="A281" s="45"/>
      <x:c r="B281" s="42"/>
      <x:c r="C281" s="46"/>
      <x:c r="D281" s="4"/>
      <x:c r="E281" s="47" t="str">
        <x:f>IF(C281="☑ Yes",A281,"")</x:f>
      </x:c>
      <x:c r="F281" s="89" t="str">
        <x:f>IF(B281="","",COUNTIF($B$2:$B$500,"&lt;"&amp;B281)+COUNTIF($B$2:B281,B281))</x:f>
      </x:c>
      <x:c r="G281" s="89" t="str">
        <x:f>IFERROR(INDEX($B$2:$B$500,MATCH(ROWS($G$2:G281),$F$2:$F$500,0)),"")</x:f>
      </x:c>
      <x:c r="H281" s="90" t="str">
        <x:f>IFERROR(INDEX($A$2:$A$500,MATCH(G281,$B$2:$B$500,0)),"")</x:f>
      </x:c>
    </x:row>
    <x:row r="282" ht="22" customHeight="1">
      <x:c r="A282" s="45"/>
      <x:c r="B282" s="42"/>
      <x:c r="C282" s="46"/>
      <x:c r="D282" s="4"/>
      <x:c r="E282" s="47" t="str">
        <x:f>IF(C282="☑ Yes",A282,"")</x:f>
      </x:c>
      <x:c r="F282" s="89" t="str">
        <x:f>IF(B282="","",COUNTIF($B$2:$B$500,"&lt;"&amp;B282)+COUNTIF($B$2:B282,B282))</x:f>
      </x:c>
      <x:c r="G282" s="89" t="str">
        <x:f>IFERROR(INDEX($B$2:$B$500,MATCH(ROWS($G$2:G282),$F$2:$F$500,0)),"")</x:f>
      </x:c>
      <x:c r="H282" s="90" t="str">
        <x:f>IFERROR(INDEX($A$2:$A$500,MATCH(G282,$B$2:$B$500,0)),"")</x:f>
      </x:c>
    </x:row>
    <x:row r="283" ht="22" customHeight="1">
      <x:c r="A283" s="45"/>
      <x:c r="B283" s="42"/>
      <x:c r="C283" s="46"/>
      <x:c r="D283" s="4"/>
      <x:c r="E283" s="47" t="str">
        <x:f>IF(C283="☑ Yes",A283,"")</x:f>
      </x:c>
      <x:c r="F283" s="89" t="str">
        <x:f>IF(B283="","",COUNTIF($B$2:$B$500,"&lt;"&amp;B283)+COUNTIF($B$2:B283,B283))</x:f>
      </x:c>
      <x:c r="G283" s="89" t="str">
        <x:f>IFERROR(INDEX($B$2:$B$500,MATCH(ROWS($G$2:G283),$F$2:$F$500,0)),"")</x:f>
      </x:c>
      <x:c r="H283" s="90" t="str">
        <x:f>IFERROR(INDEX($A$2:$A$500,MATCH(G283,$B$2:$B$500,0)),"")</x:f>
      </x:c>
    </x:row>
    <x:row r="284" ht="22" customHeight="1">
      <x:c r="A284" s="45"/>
      <x:c r="B284" s="42"/>
      <x:c r="C284" s="46"/>
      <x:c r="D284" s="4"/>
      <x:c r="E284" s="47" t="str">
        <x:f>IF(C284="☑ Yes",A284,"")</x:f>
      </x:c>
      <x:c r="F284" s="89" t="str">
        <x:f>IF(B284="","",COUNTIF($B$2:$B$500,"&lt;"&amp;B284)+COUNTIF($B$2:B284,B284))</x:f>
      </x:c>
      <x:c r="G284" s="89" t="str">
        <x:f>IFERROR(INDEX($B$2:$B$500,MATCH(ROWS($G$2:G284),$F$2:$F$500,0)),"")</x:f>
      </x:c>
      <x:c r="H284" s="90" t="str">
        <x:f>IFERROR(INDEX($A$2:$A$500,MATCH(G284,$B$2:$B$500,0)),"")</x:f>
      </x:c>
    </x:row>
    <x:row r="285" ht="22" customHeight="1">
      <x:c r="A285" s="45"/>
      <x:c r="B285" s="42"/>
      <x:c r="C285" s="46"/>
      <x:c r="D285" s="4"/>
      <x:c r="E285" s="47" t="str">
        <x:f>IF(C285="☑ Yes",A285,"")</x:f>
      </x:c>
      <x:c r="F285" s="89" t="str">
        <x:f>IF(B285="","",COUNTIF($B$2:$B$500,"&lt;"&amp;B285)+COUNTIF($B$2:B285,B285))</x:f>
      </x:c>
      <x:c r="G285" s="89" t="str">
        <x:f>IFERROR(INDEX($B$2:$B$500,MATCH(ROWS($G$2:G285),$F$2:$F$500,0)),"")</x:f>
      </x:c>
      <x:c r="H285" s="90" t="str">
        <x:f>IFERROR(INDEX($A$2:$A$500,MATCH(G285,$B$2:$B$500,0)),"")</x:f>
      </x:c>
    </x:row>
    <x:row r="286" ht="22" customHeight="1">
      <x:c r="A286" s="45"/>
      <x:c r="B286" s="42"/>
      <x:c r="C286" s="46"/>
      <x:c r="D286" s="4"/>
      <x:c r="E286" s="47" t="str">
        <x:f>IF(C286="☑ Yes",A286,"")</x:f>
      </x:c>
      <x:c r="F286" s="89" t="str">
        <x:f>IF(B286="","",COUNTIF($B$2:$B$500,"&lt;"&amp;B286)+COUNTIF($B$2:B286,B286))</x:f>
      </x:c>
      <x:c r="G286" s="89" t="str">
        <x:f>IFERROR(INDEX($B$2:$B$500,MATCH(ROWS($G$2:G286),$F$2:$F$500,0)),"")</x:f>
      </x:c>
      <x:c r="H286" s="90" t="str">
        <x:f>IFERROR(INDEX($A$2:$A$500,MATCH(G286,$B$2:$B$500,0)),"")</x:f>
      </x:c>
    </x:row>
    <x:row r="287" ht="22" customHeight="1">
      <x:c r="A287" s="45"/>
      <x:c r="B287" s="42"/>
      <x:c r="C287" s="46"/>
      <x:c r="D287" s="4"/>
      <x:c r="E287" s="47" t="str">
        <x:f>IF(C287="☑ Yes",A287,"")</x:f>
      </x:c>
      <x:c r="F287" s="89" t="str">
        <x:f>IF(B287="","",COUNTIF($B$2:$B$500,"&lt;"&amp;B287)+COUNTIF($B$2:B287,B287))</x:f>
      </x:c>
      <x:c r="G287" s="89" t="str">
        <x:f>IFERROR(INDEX($B$2:$B$500,MATCH(ROWS($G$2:G287),$F$2:$F$500,0)),"")</x:f>
      </x:c>
      <x:c r="H287" s="90" t="str">
        <x:f>IFERROR(INDEX($A$2:$A$500,MATCH(G287,$B$2:$B$500,0)),"")</x:f>
      </x:c>
    </x:row>
    <x:row r="288" ht="22" customHeight="1">
      <x:c r="A288" s="45"/>
      <x:c r="B288" s="42"/>
      <x:c r="C288" s="46"/>
      <x:c r="D288" s="4"/>
      <x:c r="E288" s="47" t="str">
        <x:f>IF(C288="☑ Yes",A288,"")</x:f>
      </x:c>
      <x:c r="F288" s="89" t="str">
        <x:f>IF(B288="","",COUNTIF($B$2:$B$500,"&lt;"&amp;B288)+COUNTIF($B$2:B288,B288))</x:f>
      </x:c>
      <x:c r="G288" s="89" t="str">
        <x:f>IFERROR(INDEX($B$2:$B$500,MATCH(ROWS($G$2:G288),$F$2:$F$500,0)),"")</x:f>
      </x:c>
      <x:c r="H288" s="90" t="str">
        <x:f>IFERROR(INDEX($A$2:$A$500,MATCH(G288,$B$2:$B$500,0)),"")</x:f>
      </x:c>
    </x:row>
    <x:row r="289" ht="22" customHeight="1">
      <x:c r="A289" s="45"/>
      <x:c r="B289" s="42"/>
      <x:c r="C289" s="46"/>
      <x:c r="D289" s="4"/>
      <x:c r="E289" s="47" t="str">
        <x:f>IF(C289="☑ Yes",A289,"")</x:f>
      </x:c>
      <x:c r="F289" s="89" t="str">
        <x:f>IF(B289="","",COUNTIF($B$2:$B$500,"&lt;"&amp;B289)+COUNTIF($B$2:B289,B289))</x:f>
      </x:c>
      <x:c r="G289" s="89" t="str">
        <x:f>IFERROR(INDEX($B$2:$B$500,MATCH(ROWS($G$2:G289),$F$2:$F$500,0)),"")</x:f>
      </x:c>
      <x:c r="H289" s="90" t="str">
        <x:f>IFERROR(INDEX($A$2:$A$500,MATCH(G289,$B$2:$B$500,0)),"")</x:f>
      </x:c>
    </x:row>
    <x:row r="290" ht="22" customHeight="1">
      <x:c r="A290" s="45"/>
      <x:c r="B290" s="42"/>
      <x:c r="C290" s="46"/>
      <x:c r="D290" s="4"/>
      <x:c r="E290" s="47" t="str">
        <x:f>IF(C290="☑ Yes",A290,"")</x:f>
      </x:c>
      <x:c r="F290" s="89" t="str">
        <x:f>IF(B290="","",COUNTIF($B$2:$B$500,"&lt;"&amp;B290)+COUNTIF($B$2:B290,B290))</x:f>
      </x:c>
      <x:c r="G290" s="89" t="str">
        <x:f>IFERROR(INDEX($B$2:$B$500,MATCH(ROWS($G$2:G290),$F$2:$F$500,0)),"")</x:f>
      </x:c>
      <x:c r="H290" s="90" t="str">
        <x:f>IFERROR(INDEX($A$2:$A$500,MATCH(G290,$B$2:$B$500,0)),"")</x:f>
      </x:c>
    </x:row>
    <x:row r="291" ht="22" customHeight="1">
      <x:c r="A291" s="45"/>
      <x:c r="B291" s="42"/>
      <x:c r="C291" s="46"/>
      <x:c r="D291" s="4"/>
      <x:c r="E291" s="47" t="str">
        <x:f>IF(C291="☑ Yes",A291,"")</x:f>
      </x:c>
      <x:c r="F291" s="89" t="str">
        <x:f>IF(B291="","",COUNTIF($B$2:$B$500,"&lt;"&amp;B291)+COUNTIF($B$2:B291,B291))</x:f>
      </x:c>
      <x:c r="G291" s="89" t="str">
        <x:f>IFERROR(INDEX($B$2:$B$500,MATCH(ROWS($G$2:G291),$F$2:$F$500,0)),"")</x:f>
      </x:c>
      <x:c r="H291" s="90" t="str">
        <x:f>IFERROR(INDEX($A$2:$A$500,MATCH(G291,$B$2:$B$500,0)),"")</x:f>
      </x:c>
    </x:row>
    <x:row r="292" ht="22" customHeight="1">
      <x:c r="A292" s="45"/>
      <x:c r="B292" s="42"/>
      <x:c r="C292" s="46"/>
      <x:c r="D292" s="4"/>
      <x:c r="E292" s="47" t="str">
        <x:f>IF(C292="☑ Yes",A292,"")</x:f>
      </x:c>
      <x:c r="F292" s="89" t="str">
        <x:f>IF(B292="","",COUNTIF($B$2:$B$500,"&lt;"&amp;B292)+COUNTIF($B$2:B292,B292))</x:f>
      </x:c>
      <x:c r="G292" s="89" t="str">
        <x:f>IFERROR(INDEX($B$2:$B$500,MATCH(ROWS($G$2:G292),$F$2:$F$500,0)),"")</x:f>
      </x:c>
      <x:c r="H292" s="90" t="str">
        <x:f>IFERROR(INDEX($A$2:$A$500,MATCH(G292,$B$2:$B$500,0)),"")</x:f>
      </x:c>
    </x:row>
    <x:row r="293" ht="22" customHeight="1">
      <x:c r="A293" s="45"/>
      <x:c r="B293" s="42"/>
      <x:c r="C293" s="46"/>
      <x:c r="D293" s="4"/>
      <x:c r="E293" s="47" t="str">
        <x:f>IF(C293="☑ Yes",A293,"")</x:f>
      </x:c>
      <x:c r="F293" s="89" t="str">
        <x:f>IF(B293="","",COUNTIF($B$2:$B$500,"&lt;"&amp;B293)+COUNTIF($B$2:B293,B293))</x:f>
      </x:c>
      <x:c r="G293" s="89" t="str">
        <x:f>IFERROR(INDEX($B$2:$B$500,MATCH(ROWS($G$2:G293),$F$2:$F$500,0)),"")</x:f>
      </x:c>
      <x:c r="H293" s="90" t="str">
        <x:f>IFERROR(INDEX($A$2:$A$500,MATCH(G293,$B$2:$B$500,0)),"")</x:f>
      </x:c>
    </x:row>
    <x:row r="294" ht="22" customHeight="1">
      <x:c r="A294" s="45"/>
      <x:c r="B294" s="42"/>
      <x:c r="C294" s="46"/>
      <x:c r="D294" s="4"/>
      <x:c r="E294" s="47" t="str">
        <x:f>IF(C294="☑ Yes",A294,"")</x:f>
      </x:c>
      <x:c r="F294" s="89" t="str">
        <x:f>IF(B294="","",COUNTIF($B$2:$B$500,"&lt;"&amp;B294)+COUNTIF($B$2:B294,B294))</x:f>
      </x:c>
      <x:c r="G294" s="89" t="str">
        <x:f>IFERROR(INDEX($B$2:$B$500,MATCH(ROWS($G$2:G294),$F$2:$F$500,0)),"")</x:f>
      </x:c>
      <x:c r="H294" s="90" t="str">
        <x:f>IFERROR(INDEX($A$2:$A$500,MATCH(G294,$B$2:$B$500,0)),"")</x:f>
      </x:c>
    </x:row>
    <x:row r="295" ht="22" customHeight="1">
      <x:c r="A295" s="45"/>
      <x:c r="B295" s="42"/>
      <x:c r="C295" s="46"/>
      <x:c r="D295" s="4"/>
      <x:c r="E295" s="47" t="str">
        <x:f>IF(C295="☑ Yes",A295,"")</x:f>
      </x:c>
      <x:c r="F295" s="89" t="str">
        <x:f>IF(B295="","",COUNTIF($B$2:$B$500,"&lt;"&amp;B295)+COUNTIF($B$2:B295,B295))</x:f>
      </x:c>
      <x:c r="G295" s="89" t="str">
        <x:f>IFERROR(INDEX($B$2:$B$500,MATCH(ROWS($G$2:G295),$F$2:$F$500,0)),"")</x:f>
      </x:c>
      <x:c r="H295" s="90" t="str">
        <x:f>IFERROR(INDEX($A$2:$A$500,MATCH(G295,$B$2:$B$500,0)),"")</x:f>
      </x:c>
    </x:row>
    <x:row r="296" ht="22" customHeight="1">
      <x:c r="A296" s="45"/>
      <x:c r="B296" s="42"/>
      <x:c r="C296" s="46"/>
      <x:c r="D296" s="4"/>
      <x:c r="E296" s="47" t="str">
        <x:f>IF(C296="☑ Yes",A296,"")</x:f>
      </x:c>
      <x:c r="F296" s="89" t="str">
        <x:f>IF(B296="","",COUNTIF($B$2:$B$500,"&lt;"&amp;B296)+COUNTIF($B$2:B296,B296))</x:f>
      </x:c>
      <x:c r="G296" s="89" t="str">
        <x:f>IFERROR(INDEX($B$2:$B$500,MATCH(ROWS($G$2:G296),$F$2:$F$500,0)),"")</x:f>
      </x:c>
      <x:c r="H296" s="90" t="str">
        <x:f>IFERROR(INDEX($A$2:$A$500,MATCH(G296,$B$2:$B$500,0)),"")</x:f>
      </x:c>
    </x:row>
    <x:row r="297" ht="22" customHeight="1">
      <x:c r="A297" s="45"/>
      <x:c r="B297" s="42"/>
      <x:c r="C297" s="46"/>
      <x:c r="D297" s="4"/>
      <x:c r="E297" s="47" t="str">
        <x:f>IF(C297="☑ Yes",A297,"")</x:f>
      </x:c>
      <x:c r="F297" s="89" t="str">
        <x:f>IF(B297="","",COUNTIF($B$2:$B$500,"&lt;"&amp;B297)+COUNTIF($B$2:B297,B297))</x:f>
      </x:c>
      <x:c r="G297" s="89" t="str">
        <x:f>IFERROR(INDEX($B$2:$B$500,MATCH(ROWS($G$2:G297),$F$2:$F$500,0)),"")</x:f>
      </x:c>
      <x:c r="H297" s="90" t="str">
        <x:f>IFERROR(INDEX($A$2:$A$500,MATCH(G297,$B$2:$B$500,0)),"")</x:f>
      </x:c>
    </x:row>
    <x:row r="298" ht="22" customHeight="1">
      <x:c r="A298" s="45"/>
      <x:c r="B298" s="42"/>
      <x:c r="C298" s="46"/>
      <x:c r="D298" s="4"/>
      <x:c r="E298" s="47" t="str">
        <x:f>IF(C298="☑ Yes",A298,"")</x:f>
      </x:c>
      <x:c r="F298" s="89" t="str">
        <x:f>IF(B298="","",COUNTIF($B$2:$B$500,"&lt;"&amp;B298)+COUNTIF($B$2:B298,B298))</x:f>
      </x:c>
      <x:c r="G298" s="89" t="str">
        <x:f>IFERROR(INDEX($B$2:$B$500,MATCH(ROWS($G$2:G298),$F$2:$F$500,0)),"")</x:f>
      </x:c>
      <x:c r="H298" s="90" t="str">
        <x:f>IFERROR(INDEX($A$2:$A$500,MATCH(G298,$B$2:$B$500,0)),"")</x:f>
      </x:c>
    </x:row>
    <x:row r="299" ht="22" customHeight="1">
      <x:c r="A299" s="45"/>
      <x:c r="B299" s="42"/>
      <x:c r="C299" s="46"/>
      <x:c r="D299" s="4"/>
      <x:c r="E299" s="47" t="str">
        <x:f>IF(C299="☑ Yes",A299,"")</x:f>
      </x:c>
      <x:c r="F299" s="89" t="str">
        <x:f>IF(B299="","",COUNTIF($B$2:$B$500,"&lt;"&amp;B299)+COUNTIF($B$2:B299,B299))</x:f>
      </x:c>
      <x:c r="G299" s="89" t="str">
        <x:f>IFERROR(INDEX($B$2:$B$500,MATCH(ROWS($G$2:G299),$F$2:$F$500,0)),"")</x:f>
      </x:c>
      <x:c r="H299" s="90" t="str">
        <x:f>IFERROR(INDEX($A$2:$A$500,MATCH(G299,$B$2:$B$500,0)),"")</x:f>
      </x:c>
    </x:row>
    <x:row r="300" ht="22" customHeight="1">
      <x:c r="A300" s="45"/>
      <x:c r="B300" s="42"/>
      <x:c r="C300" s="46"/>
      <x:c r="D300" s="4"/>
      <x:c r="E300" s="47" t="str">
        <x:f>IF(C300="☑ Yes",A300,"")</x:f>
      </x:c>
      <x:c r="F300" s="89" t="str">
        <x:f>IF(B300="","",COUNTIF($B$2:$B$500,"&lt;"&amp;B300)+COUNTIF($B$2:B300,B300))</x:f>
      </x:c>
      <x:c r="G300" s="89" t="str">
        <x:f>IFERROR(INDEX($B$2:$B$500,MATCH(ROWS($G$2:G300),$F$2:$F$500,0)),"")</x:f>
      </x:c>
      <x:c r="H300" s="90" t="str">
        <x:f>IFERROR(INDEX($A$2:$A$500,MATCH(G300,$B$2:$B$500,0)),"")</x:f>
      </x:c>
    </x:row>
    <x:row r="301" ht="22" customHeight="1">
      <x:c r="A301" s="45"/>
      <x:c r="B301" s="42"/>
      <x:c r="C301" s="46"/>
      <x:c r="D301" s="4"/>
      <x:c r="E301" s="47" t="str">
        <x:f>IF(C301="☑ Yes",A301,"")</x:f>
      </x:c>
      <x:c r="F301" s="89" t="str">
        <x:f>IF(B301="","",COUNTIF($B$2:$B$500,"&lt;"&amp;B301)+COUNTIF($B$2:B301,B301))</x:f>
      </x:c>
      <x:c r="G301" s="89" t="str">
        <x:f>IFERROR(INDEX($B$2:$B$500,MATCH(ROWS($G$2:G301),$F$2:$F$500,0)),"")</x:f>
      </x:c>
      <x:c r="H301" s="90" t="str">
        <x:f>IFERROR(INDEX($A$2:$A$500,MATCH(G301,$B$2:$B$500,0)),"")</x:f>
      </x:c>
    </x:row>
    <x:row r="302" ht="22" customHeight="1">
      <x:c r="A302" s="45"/>
      <x:c r="B302" s="42"/>
      <x:c r="C302" s="46"/>
      <x:c r="D302" s="4"/>
      <x:c r="E302" s="47" t="str">
        <x:f>IF(C302="☑ Yes",A302,"")</x:f>
      </x:c>
      <x:c r="F302" s="89" t="str">
        <x:f>IF(B302="","",COUNTIF($B$2:$B$500,"&lt;"&amp;B302)+COUNTIF($B$2:B302,B302))</x:f>
      </x:c>
      <x:c r="G302" s="89" t="str">
        <x:f>IFERROR(INDEX($B$2:$B$500,MATCH(ROWS($G$2:G302),$F$2:$F$500,0)),"")</x:f>
      </x:c>
      <x:c r="H302" s="90" t="str">
        <x:f>IFERROR(INDEX($A$2:$A$500,MATCH(G302,$B$2:$B$500,0)),"")</x:f>
      </x:c>
    </x:row>
    <x:row r="303" ht="22" customHeight="1">
      <x:c r="A303" s="45"/>
      <x:c r="B303" s="42"/>
      <x:c r="C303" s="46"/>
      <x:c r="D303" s="4"/>
      <x:c r="E303" s="47" t="str">
        <x:f>IF(C303="☑ Yes",A303,"")</x:f>
      </x:c>
      <x:c r="F303" s="89" t="str">
        <x:f>IF(B303="","",COUNTIF($B$2:$B$500,"&lt;"&amp;B303)+COUNTIF($B$2:B303,B303))</x:f>
      </x:c>
      <x:c r="G303" s="89" t="str">
        <x:f>IFERROR(INDEX($B$2:$B$500,MATCH(ROWS($G$2:G303),$F$2:$F$500,0)),"")</x:f>
      </x:c>
      <x:c r="H303" s="90" t="str">
        <x:f>IFERROR(INDEX($A$2:$A$500,MATCH(G303,$B$2:$B$500,0)),"")</x:f>
      </x:c>
    </x:row>
    <x:row r="304" ht="22" customHeight="1">
      <x:c r="A304" s="45"/>
      <x:c r="B304" s="42"/>
      <x:c r="C304" s="46"/>
      <x:c r="D304" s="4"/>
      <x:c r="E304" s="47" t="str">
        <x:f>IF(C304="☑ Yes",A304,"")</x:f>
      </x:c>
      <x:c r="F304" s="89" t="str">
        <x:f>IF(B304="","",COUNTIF($B$2:$B$500,"&lt;"&amp;B304)+COUNTIF($B$2:B304,B304))</x:f>
      </x:c>
      <x:c r="G304" s="89" t="str">
        <x:f>IFERROR(INDEX($B$2:$B$500,MATCH(ROWS($G$2:G304),$F$2:$F$500,0)),"")</x:f>
      </x:c>
      <x:c r="H304" s="90" t="str">
        <x:f>IFERROR(INDEX($A$2:$A$500,MATCH(G304,$B$2:$B$500,0)),"")</x:f>
      </x:c>
    </x:row>
    <x:row r="305" ht="22" customHeight="1">
      <x:c r="A305" s="45"/>
      <x:c r="B305" s="42"/>
      <x:c r="C305" s="46"/>
      <x:c r="D305" s="4"/>
      <x:c r="E305" s="47" t="str">
        <x:f>IF(C305="☑ Yes",A305,"")</x:f>
      </x:c>
      <x:c r="F305" s="89" t="str">
        <x:f>IF(B305="","",COUNTIF($B$2:$B$500,"&lt;"&amp;B305)+COUNTIF($B$2:B305,B305))</x:f>
      </x:c>
      <x:c r="G305" s="89" t="str">
        <x:f>IFERROR(INDEX($B$2:$B$500,MATCH(ROWS($G$2:G305),$F$2:$F$500,0)),"")</x:f>
      </x:c>
      <x:c r="H305" s="90" t="str">
        <x:f>IFERROR(INDEX($A$2:$A$500,MATCH(G305,$B$2:$B$500,0)),"")</x:f>
      </x:c>
    </x:row>
    <x:row r="306" ht="22" customHeight="1">
      <x:c r="A306" s="45"/>
      <x:c r="B306" s="42"/>
      <x:c r="C306" s="46"/>
      <x:c r="D306" s="4"/>
      <x:c r="E306" s="47" t="str">
        <x:f>IF(C306="☑ Yes",A306,"")</x:f>
      </x:c>
      <x:c r="F306" s="89" t="str">
        <x:f>IF(B306="","",COUNTIF($B$2:$B$500,"&lt;"&amp;B306)+COUNTIF($B$2:B306,B306))</x:f>
      </x:c>
      <x:c r="G306" s="89" t="str">
        <x:f>IFERROR(INDEX($B$2:$B$500,MATCH(ROWS($G$2:G306),$F$2:$F$500,0)),"")</x:f>
      </x:c>
      <x:c r="H306" s="90" t="str">
        <x:f>IFERROR(INDEX($A$2:$A$500,MATCH(G306,$B$2:$B$500,0)),"")</x:f>
      </x:c>
    </x:row>
    <x:row r="307" ht="22" customHeight="1">
      <x:c r="A307" s="45"/>
      <x:c r="B307" s="42"/>
      <x:c r="C307" s="46"/>
      <x:c r="D307" s="4"/>
      <x:c r="E307" s="47" t="str">
        <x:f>IF(C307="☑ Yes",A307,"")</x:f>
      </x:c>
      <x:c r="F307" s="89" t="str">
        <x:f>IF(B307="","",COUNTIF($B$2:$B$500,"&lt;"&amp;B307)+COUNTIF($B$2:B307,B307))</x:f>
      </x:c>
      <x:c r="G307" s="89" t="str">
        <x:f>IFERROR(INDEX($B$2:$B$500,MATCH(ROWS($G$2:G307),$F$2:$F$500,0)),"")</x:f>
      </x:c>
      <x:c r="H307" s="90" t="str">
        <x:f>IFERROR(INDEX($A$2:$A$500,MATCH(G307,$B$2:$B$500,0)),"")</x:f>
      </x:c>
    </x:row>
    <x:row r="308" ht="22" customHeight="1">
      <x:c r="A308" s="45"/>
      <x:c r="B308" s="42"/>
      <x:c r="C308" s="46"/>
      <x:c r="D308" s="4"/>
      <x:c r="E308" s="47" t="str">
        <x:f>IF(C308="☑ Yes",A308,"")</x:f>
      </x:c>
      <x:c r="F308" s="89" t="str">
        <x:f>IF(B308="","",COUNTIF($B$2:$B$500,"&lt;"&amp;B308)+COUNTIF($B$2:B308,B308))</x:f>
      </x:c>
      <x:c r="G308" s="89" t="str">
        <x:f>IFERROR(INDEX($B$2:$B$500,MATCH(ROWS($G$2:G308),$F$2:$F$500,0)),"")</x:f>
      </x:c>
      <x:c r="H308" s="90" t="str">
        <x:f>IFERROR(INDEX($A$2:$A$500,MATCH(G308,$B$2:$B$500,0)),"")</x:f>
      </x:c>
    </x:row>
    <x:row r="309" ht="22" customHeight="1">
      <x:c r="A309" s="45"/>
      <x:c r="B309" s="42"/>
      <x:c r="C309" s="46"/>
      <x:c r="D309" s="4"/>
      <x:c r="E309" s="47" t="str">
        <x:f>IF(C309="☑ Yes",A309,"")</x:f>
      </x:c>
      <x:c r="F309" s="89" t="str">
        <x:f>IF(B309="","",COUNTIF($B$2:$B$500,"&lt;"&amp;B309)+COUNTIF($B$2:B309,B309))</x:f>
      </x:c>
      <x:c r="G309" s="89" t="str">
        <x:f>IFERROR(INDEX($B$2:$B$500,MATCH(ROWS($G$2:G309),$F$2:$F$500,0)),"")</x:f>
      </x:c>
      <x:c r="H309" s="90" t="str">
        <x:f>IFERROR(INDEX($A$2:$A$500,MATCH(G309,$B$2:$B$500,0)),"")</x:f>
      </x:c>
    </x:row>
    <x:row r="310" ht="22" customHeight="1">
      <x:c r="A310" s="45"/>
      <x:c r="B310" s="42"/>
      <x:c r="C310" s="46"/>
      <x:c r="D310" s="4"/>
      <x:c r="E310" s="47" t="str">
        <x:f>IF(C310="☑ Yes",A310,"")</x:f>
      </x:c>
      <x:c r="F310" s="89" t="str">
        <x:f>IF(B310="","",COUNTIF($B$2:$B$500,"&lt;"&amp;B310)+COUNTIF($B$2:B310,B310))</x:f>
      </x:c>
      <x:c r="G310" s="89" t="str">
        <x:f>IFERROR(INDEX($B$2:$B$500,MATCH(ROWS($G$2:G310),$F$2:$F$500,0)),"")</x:f>
      </x:c>
      <x:c r="H310" s="90" t="str">
        <x:f>IFERROR(INDEX($A$2:$A$500,MATCH(G310,$B$2:$B$500,0)),"")</x:f>
      </x:c>
    </x:row>
    <x:row r="311" ht="22" customHeight="1">
      <x:c r="A311" s="45"/>
      <x:c r="B311" s="42"/>
      <x:c r="C311" s="46"/>
      <x:c r="D311" s="4"/>
      <x:c r="E311" s="47" t="str">
        <x:f>IF(C311="☑ Yes",A311,"")</x:f>
      </x:c>
      <x:c r="F311" s="89" t="str">
        <x:f>IF(B311="","",COUNTIF($B$2:$B$500,"&lt;"&amp;B311)+COUNTIF($B$2:B311,B311))</x:f>
      </x:c>
      <x:c r="G311" s="89" t="str">
        <x:f>IFERROR(INDEX($B$2:$B$500,MATCH(ROWS($G$2:G311),$F$2:$F$500,0)),"")</x:f>
      </x:c>
      <x:c r="H311" s="90" t="str">
        <x:f>IFERROR(INDEX($A$2:$A$500,MATCH(G311,$B$2:$B$500,0)),"")</x:f>
      </x:c>
    </x:row>
    <x:row r="312" ht="22" customHeight="1">
      <x:c r="A312" s="45"/>
      <x:c r="B312" s="42"/>
      <x:c r="C312" s="46"/>
      <x:c r="D312" s="4"/>
      <x:c r="E312" s="47" t="str">
        <x:f>IF(C312="☑ Yes",A312,"")</x:f>
      </x:c>
      <x:c r="F312" s="89" t="str">
        <x:f>IF(B312="","",COUNTIF($B$2:$B$500,"&lt;"&amp;B312)+COUNTIF($B$2:B312,B312))</x:f>
      </x:c>
      <x:c r="G312" s="89" t="str">
        <x:f>IFERROR(INDEX($B$2:$B$500,MATCH(ROWS($G$2:G312),$F$2:$F$500,0)),"")</x:f>
      </x:c>
      <x:c r="H312" s="90" t="str">
        <x:f>IFERROR(INDEX($A$2:$A$500,MATCH(G312,$B$2:$B$500,0)),"")</x:f>
      </x:c>
    </x:row>
    <x:row r="313" ht="22" customHeight="1">
      <x:c r="A313" s="45"/>
      <x:c r="B313" s="42"/>
      <x:c r="C313" s="46"/>
      <x:c r="D313" s="4"/>
      <x:c r="E313" s="47" t="str">
        <x:f>IF(C313="☑ Yes",A313,"")</x:f>
      </x:c>
      <x:c r="F313" s="89" t="str">
        <x:f>IF(B313="","",COUNTIF($B$2:$B$500,"&lt;"&amp;B313)+COUNTIF($B$2:B313,B313))</x:f>
      </x:c>
      <x:c r="G313" s="89" t="str">
        <x:f>IFERROR(INDEX($B$2:$B$500,MATCH(ROWS($G$2:G313),$F$2:$F$500,0)),"")</x:f>
      </x:c>
      <x:c r="H313" s="90" t="str">
        <x:f>IFERROR(INDEX($A$2:$A$500,MATCH(G313,$B$2:$B$500,0)),"")</x:f>
      </x:c>
    </x:row>
    <x:row r="314" ht="22" customHeight="1">
      <x:c r="A314" s="45"/>
      <x:c r="B314" s="42"/>
      <x:c r="C314" s="46"/>
      <x:c r="D314" s="4"/>
      <x:c r="E314" s="47" t="str">
        <x:f>IF(C314="☑ Yes",A314,"")</x:f>
      </x:c>
      <x:c r="F314" s="89" t="str">
        <x:f>IF(B314="","",COUNTIF($B$2:$B$500,"&lt;"&amp;B314)+COUNTIF($B$2:B314,B314))</x:f>
      </x:c>
      <x:c r="G314" s="89" t="str">
        <x:f>IFERROR(INDEX($B$2:$B$500,MATCH(ROWS($G$2:G314),$F$2:$F$500,0)),"")</x:f>
      </x:c>
      <x:c r="H314" s="90" t="str">
        <x:f>IFERROR(INDEX($A$2:$A$500,MATCH(G314,$B$2:$B$500,0)),"")</x:f>
      </x:c>
    </x:row>
    <x:row r="315" ht="22" customHeight="1">
      <x:c r="A315" s="45"/>
      <x:c r="B315" s="42"/>
      <x:c r="C315" s="46"/>
      <x:c r="D315" s="4"/>
      <x:c r="E315" s="47" t="str">
        <x:f>IF(C315="☑ Yes",A315,"")</x:f>
      </x:c>
      <x:c r="F315" s="89" t="str">
        <x:f>IF(B315="","",COUNTIF($B$2:$B$500,"&lt;"&amp;B315)+COUNTIF($B$2:B315,B315))</x:f>
      </x:c>
      <x:c r="G315" s="89" t="str">
        <x:f>IFERROR(INDEX($B$2:$B$500,MATCH(ROWS($G$2:G315),$F$2:$F$500,0)),"")</x:f>
      </x:c>
      <x:c r="H315" s="90" t="str">
        <x:f>IFERROR(INDEX($A$2:$A$500,MATCH(G315,$B$2:$B$500,0)),"")</x:f>
      </x:c>
    </x:row>
    <x:row r="316" ht="22" customHeight="1">
      <x:c r="A316" s="45"/>
      <x:c r="B316" s="42"/>
      <x:c r="C316" s="46"/>
      <x:c r="D316" s="4"/>
      <x:c r="E316" s="47" t="str">
        <x:f>IF(C316="☑ Yes",A316,"")</x:f>
      </x:c>
      <x:c r="F316" s="89" t="str">
        <x:f>IF(B316="","",COUNTIF($B$2:$B$500,"&lt;"&amp;B316)+COUNTIF($B$2:B316,B316))</x:f>
      </x:c>
      <x:c r="G316" s="89" t="str">
        <x:f>IFERROR(INDEX($B$2:$B$500,MATCH(ROWS($G$2:G316),$F$2:$F$500,0)),"")</x:f>
      </x:c>
      <x:c r="H316" s="90" t="str">
        <x:f>IFERROR(INDEX($A$2:$A$500,MATCH(G316,$B$2:$B$500,0)),"")</x:f>
      </x:c>
    </x:row>
    <x:row r="317" ht="22" customHeight="1">
      <x:c r="A317" s="45"/>
      <x:c r="B317" s="42"/>
      <x:c r="C317" s="46"/>
      <x:c r="D317" s="4"/>
      <x:c r="E317" s="47" t="str">
        <x:f>IF(C317="☑ Yes",A317,"")</x:f>
      </x:c>
      <x:c r="F317" s="89" t="str">
        <x:f>IF(B317="","",COUNTIF($B$2:$B$500,"&lt;"&amp;B317)+COUNTIF($B$2:B317,B317))</x:f>
      </x:c>
      <x:c r="G317" s="89" t="str">
        <x:f>IFERROR(INDEX($B$2:$B$500,MATCH(ROWS($G$2:G317),$F$2:$F$500,0)),"")</x:f>
      </x:c>
      <x:c r="H317" s="90" t="str">
        <x:f>IFERROR(INDEX($A$2:$A$500,MATCH(G317,$B$2:$B$500,0)),"")</x:f>
      </x:c>
    </x:row>
    <x:row r="318" ht="22" customHeight="1">
      <x:c r="A318" s="45"/>
      <x:c r="B318" s="42"/>
      <x:c r="C318" s="46"/>
      <x:c r="D318" s="4"/>
      <x:c r="E318" s="47" t="str">
        <x:f>IF(C318="☑ Yes",A318,"")</x:f>
      </x:c>
      <x:c r="F318" s="89" t="str">
        <x:f>IF(B318="","",COUNTIF($B$2:$B$500,"&lt;"&amp;B318)+COUNTIF($B$2:B318,B318))</x:f>
      </x:c>
      <x:c r="G318" s="89" t="str">
        <x:f>IFERROR(INDEX($B$2:$B$500,MATCH(ROWS($G$2:G318),$F$2:$F$500,0)),"")</x:f>
      </x:c>
      <x:c r="H318" s="90" t="str">
        <x:f>IFERROR(INDEX($A$2:$A$500,MATCH(G318,$B$2:$B$500,0)),"")</x:f>
      </x:c>
    </x:row>
    <x:row r="319" ht="22" customHeight="1">
      <x:c r="A319" s="45"/>
      <x:c r="B319" s="42"/>
      <x:c r="C319" s="46"/>
      <x:c r="D319" s="4"/>
      <x:c r="E319" s="47" t="str">
        <x:f>IF(C319="☑ Yes",A319,"")</x:f>
      </x:c>
      <x:c r="F319" s="89" t="str">
        <x:f>IF(B319="","",COUNTIF($B$2:$B$500,"&lt;"&amp;B319)+COUNTIF($B$2:B319,B319))</x:f>
      </x:c>
      <x:c r="G319" s="89" t="str">
        <x:f>IFERROR(INDEX($B$2:$B$500,MATCH(ROWS($G$2:G319),$F$2:$F$500,0)),"")</x:f>
      </x:c>
      <x:c r="H319" s="90" t="str">
        <x:f>IFERROR(INDEX($A$2:$A$500,MATCH(G319,$B$2:$B$500,0)),"")</x:f>
      </x:c>
    </x:row>
    <x:row r="320" ht="22" customHeight="1">
      <x:c r="A320" s="45"/>
      <x:c r="B320" s="42"/>
      <x:c r="C320" s="46"/>
      <x:c r="D320" s="4"/>
      <x:c r="E320" s="47" t="str">
        <x:f>IF(C320="☑ Yes",A320,"")</x:f>
      </x:c>
      <x:c r="F320" s="89" t="str">
        <x:f>IF(B320="","",COUNTIF($B$2:$B$500,"&lt;"&amp;B320)+COUNTIF($B$2:B320,B320))</x:f>
      </x:c>
      <x:c r="G320" s="89" t="str">
        <x:f>IFERROR(INDEX($B$2:$B$500,MATCH(ROWS($G$2:G320),$F$2:$F$500,0)),"")</x:f>
      </x:c>
      <x:c r="H320" s="90" t="str">
        <x:f>IFERROR(INDEX($A$2:$A$500,MATCH(G320,$B$2:$B$500,0)),"")</x:f>
      </x:c>
    </x:row>
    <x:row r="321" ht="22" customHeight="1">
      <x:c r="A321" s="45"/>
      <x:c r="B321" s="42"/>
      <x:c r="C321" s="46"/>
      <x:c r="D321" s="4"/>
      <x:c r="E321" s="47" t="str">
        <x:f>IF(C321="☑ Yes",A321,"")</x:f>
      </x:c>
      <x:c r="F321" s="89" t="str">
        <x:f>IF(B321="","",COUNTIF($B$2:$B$500,"&lt;"&amp;B321)+COUNTIF($B$2:B321,B321))</x:f>
      </x:c>
      <x:c r="G321" s="89" t="str">
        <x:f>IFERROR(INDEX($B$2:$B$500,MATCH(ROWS($G$2:G321),$F$2:$F$500,0)),"")</x:f>
      </x:c>
      <x:c r="H321" s="90" t="str">
        <x:f>IFERROR(INDEX($A$2:$A$500,MATCH(G321,$B$2:$B$500,0)),"")</x:f>
      </x:c>
    </x:row>
    <x:row r="322" ht="22" customHeight="1">
      <x:c r="A322" s="45"/>
      <x:c r="B322" s="42"/>
      <x:c r="C322" s="46"/>
      <x:c r="D322" s="4"/>
      <x:c r="E322" s="47" t="str">
        <x:f>IF(C322="☑ Yes",A322,"")</x:f>
      </x:c>
      <x:c r="F322" s="89" t="str">
        <x:f>IF(B322="","",COUNTIF($B$2:$B$500,"&lt;"&amp;B322)+COUNTIF($B$2:B322,B322))</x:f>
      </x:c>
      <x:c r="G322" s="89" t="str">
        <x:f>IFERROR(INDEX($B$2:$B$500,MATCH(ROWS($G$2:G322),$F$2:$F$500,0)),"")</x:f>
      </x:c>
      <x:c r="H322" s="90" t="str">
        <x:f>IFERROR(INDEX($A$2:$A$500,MATCH(G322,$B$2:$B$500,0)),"")</x:f>
      </x:c>
    </x:row>
    <x:row r="323" ht="22" customHeight="1">
      <x:c r="A323" s="45"/>
      <x:c r="B323" s="42"/>
      <x:c r="C323" s="46"/>
      <x:c r="D323" s="4"/>
      <x:c r="E323" s="47" t="str">
        <x:f>IF(C323="☑ Yes",A323,"")</x:f>
      </x:c>
      <x:c r="F323" s="89" t="str">
        <x:f>IF(B323="","",COUNTIF($B$2:$B$500,"&lt;"&amp;B323)+COUNTIF($B$2:B323,B323))</x:f>
      </x:c>
      <x:c r="G323" s="89" t="str">
        <x:f>IFERROR(INDEX($B$2:$B$500,MATCH(ROWS($G$2:G323),$F$2:$F$500,0)),"")</x:f>
      </x:c>
      <x:c r="H323" s="90" t="str">
        <x:f>IFERROR(INDEX($A$2:$A$500,MATCH(G323,$B$2:$B$500,0)),"")</x:f>
      </x:c>
    </x:row>
    <x:row r="324" ht="22" customHeight="1">
      <x:c r="A324" s="45"/>
      <x:c r="B324" s="42"/>
      <x:c r="C324" s="46"/>
      <x:c r="D324" s="4"/>
      <x:c r="E324" s="47" t="str">
        <x:f>IF(C324="☑ Yes",A324,"")</x:f>
      </x:c>
      <x:c r="F324" s="89" t="str">
        <x:f>IF(B324="","",COUNTIF($B$2:$B$500,"&lt;"&amp;B324)+COUNTIF($B$2:B324,B324))</x:f>
      </x:c>
      <x:c r="G324" s="89" t="str">
        <x:f>IFERROR(INDEX($B$2:$B$500,MATCH(ROWS($G$2:G324),$F$2:$F$500,0)),"")</x:f>
      </x:c>
      <x:c r="H324" s="90" t="str">
        <x:f>IFERROR(INDEX($A$2:$A$500,MATCH(G324,$B$2:$B$500,0)),"")</x:f>
      </x:c>
    </x:row>
    <x:row r="325" ht="22" customHeight="1">
      <x:c r="A325" s="45"/>
      <x:c r="B325" s="42"/>
      <x:c r="C325" s="46"/>
      <x:c r="D325" s="4"/>
      <x:c r="E325" s="47" t="str">
        <x:f>IF(C325="☑ Yes",A325,"")</x:f>
      </x:c>
      <x:c r="F325" s="89" t="str">
        <x:f>IF(B325="","",COUNTIF($B$2:$B$500,"&lt;"&amp;B325)+COUNTIF($B$2:B325,B325))</x:f>
      </x:c>
      <x:c r="G325" s="89" t="str">
        <x:f>IFERROR(INDEX($B$2:$B$500,MATCH(ROWS($G$2:G325),$F$2:$F$500,0)),"")</x:f>
      </x:c>
      <x:c r="H325" s="90" t="str">
        <x:f>IFERROR(INDEX($A$2:$A$500,MATCH(G325,$B$2:$B$500,0)),"")</x:f>
      </x:c>
    </x:row>
    <x:row r="326" ht="22" customHeight="1">
      <x:c r="A326" s="45"/>
      <x:c r="B326" s="42"/>
      <x:c r="C326" s="46"/>
      <x:c r="D326" s="4"/>
      <x:c r="E326" s="47" t="str">
        <x:f>IF(C326="☑ Yes",A326,"")</x:f>
      </x:c>
      <x:c r="F326" s="89" t="str">
        <x:f>IF(B326="","",COUNTIF($B$2:$B$500,"&lt;"&amp;B326)+COUNTIF($B$2:B326,B326))</x:f>
      </x:c>
      <x:c r="G326" s="89" t="str">
        <x:f>IFERROR(INDEX($B$2:$B$500,MATCH(ROWS($G$2:G326),$F$2:$F$500,0)),"")</x:f>
      </x:c>
      <x:c r="H326" s="90" t="str">
        <x:f>IFERROR(INDEX($A$2:$A$500,MATCH(G326,$B$2:$B$500,0)),"")</x:f>
      </x:c>
    </x:row>
    <x:row r="327" ht="22" customHeight="1">
      <x:c r="A327" s="45"/>
      <x:c r="B327" s="42"/>
      <x:c r="C327" s="46"/>
      <x:c r="D327" s="4"/>
      <x:c r="E327" s="47" t="str">
        <x:f>IF(C327="☑ Yes",A327,"")</x:f>
      </x:c>
      <x:c r="F327" s="89" t="str">
        <x:f>IF(B327="","",COUNTIF($B$2:$B$500,"&lt;"&amp;B327)+COUNTIF($B$2:B327,B327))</x:f>
      </x:c>
      <x:c r="G327" s="89" t="str">
        <x:f>IFERROR(INDEX($B$2:$B$500,MATCH(ROWS($G$2:G327),$F$2:$F$500,0)),"")</x:f>
      </x:c>
      <x:c r="H327" s="90" t="str">
        <x:f>IFERROR(INDEX($A$2:$A$500,MATCH(G327,$B$2:$B$500,0)),"")</x:f>
      </x:c>
    </x:row>
    <x:row r="328" ht="22" customHeight="1">
      <x:c r="A328" s="45"/>
      <x:c r="B328" s="42"/>
      <x:c r="C328" s="46"/>
      <x:c r="D328" s="4"/>
      <x:c r="E328" s="47" t="str">
        <x:f>IF(C328="☑ Yes",A328,"")</x:f>
      </x:c>
      <x:c r="F328" s="89" t="str">
        <x:f>IF(B328="","",COUNTIF($B$2:$B$500,"&lt;"&amp;B328)+COUNTIF($B$2:B328,B328))</x:f>
      </x:c>
      <x:c r="G328" s="89" t="str">
        <x:f>IFERROR(INDEX($B$2:$B$500,MATCH(ROWS($G$2:G328),$F$2:$F$500,0)),"")</x:f>
      </x:c>
      <x:c r="H328" s="90" t="str">
        <x:f>IFERROR(INDEX($A$2:$A$500,MATCH(G328,$B$2:$B$500,0)),"")</x:f>
      </x:c>
    </x:row>
    <x:row r="329" ht="22" customHeight="1">
      <x:c r="A329" s="45"/>
      <x:c r="B329" s="42"/>
      <x:c r="C329" s="46"/>
      <x:c r="D329" s="4"/>
      <x:c r="E329" s="47" t="str">
        <x:f>IF(C329="☑ Yes",A329,"")</x:f>
      </x:c>
      <x:c r="F329" s="89" t="str">
        <x:f>IF(B329="","",COUNTIF($B$2:$B$500,"&lt;"&amp;B329)+COUNTIF($B$2:B329,B329))</x:f>
      </x:c>
      <x:c r="G329" s="89" t="str">
        <x:f>IFERROR(INDEX($B$2:$B$500,MATCH(ROWS($G$2:G329),$F$2:$F$500,0)),"")</x:f>
      </x:c>
      <x:c r="H329" s="90" t="str">
        <x:f>IFERROR(INDEX($A$2:$A$500,MATCH(G329,$B$2:$B$500,0)),"")</x:f>
      </x:c>
    </x:row>
    <x:row r="330" ht="22" customHeight="1">
      <x:c r="A330" s="45"/>
      <x:c r="B330" s="42"/>
      <x:c r="C330" s="46"/>
      <x:c r="D330" s="4"/>
      <x:c r="E330" s="47" t="str">
        <x:f>IF(C330="☑ Yes",A330,"")</x:f>
      </x:c>
      <x:c r="F330" s="89" t="str">
        <x:f>IF(B330="","",COUNTIF($B$2:$B$500,"&lt;"&amp;B330)+COUNTIF($B$2:B330,B330))</x:f>
      </x:c>
      <x:c r="G330" s="89" t="str">
        <x:f>IFERROR(INDEX($B$2:$B$500,MATCH(ROWS($G$2:G330),$F$2:$F$500,0)),"")</x:f>
      </x:c>
      <x:c r="H330" s="90" t="str">
        <x:f>IFERROR(INDEX($A$2:$A$500,MATCH(G330,$B$2:$B$500,0)),"")</x:f>
      </x:c>
    </x:row>
    <x:row r="331" ht="22" customHeight="1">
      <x:c r="A331" s="45"/>
      <x:c r="B331" s="42"/>
      <x:c r="C331" s="46"/>
      <x:c r="D331" s="4"/>
      <x:c r="E331" s="47" t="str">
        <x:f>IF(C331="☑ Yes",A331,"")</x:f>
      </x:c>
      <x:c r="F331" s="89" t="str">
        <x:f>IF(B331="","",COUNTIF($B$2:$B$500,"&lt;"&amp;B331)+COUNTIF($B$2:B331,B331))</x:f>
      </x:c>
      <x:c r="G331" s="89" t="str">
        <x:f>IFERROR(INDEX($B$2:$B$500,MATCH(ROWS($G$2:G331),$F$2:$F$500,0)),"")</x:f>
      </x:c>
      <x:c r="H331" s="90" t="str">
        <x:f>IFERROR(INDEX($A$2:$A$500,MATCH(G331,$B$2:$B$500,0)),"")</x:f>
      </x:c>
    </x:row>
    <x:row r="332" ht="22" customHeight="1">
      <x:c r="A332" s="45"/>
      <x:c r="B332" s="42"/>
      <x:c r="C332" s="46"/>
      <x:c r="D332" s="4"/>
      <x:c r="E332" s="47" t="str">
        <x:f>IF(C332="☑ Yes",A332,"")</x:f>
      </x:c>
      <x:c r="F332" s="89" t="str">
        <x:f>IF(B332="","",COUNTIF($B$2:$B$500,"&lt;"&amp;B332)+COUNTIF($B$2:B332,B332))</x:f>
      </x:c>
      <x:c r="G332" s="89" t="str">
        <x:f>IFERROR(INDEX($B$2:$B$500,MATCH(ROWS($G$2:G332),$F$2:$F$500,0)),"")</x:f>
      </x:c>
      <x:c r="H332" s="90" t="str">
        <x:f>IFERROR(INDEX($A$2:$A$500,MATCH(G332,$B$2:$B$500,0)),"")</x:f>
      </x:c>
    </x:row>
    <x:row r="333" ht="22" customHeight="1">
      <x:c r="A333" s="45"/>
      <x:c r="B333" s="42"/>
      <x:c r="C333" s="46"/>
      <x:c r="D333" s="4"/>
      <x:c r="E333" s="47" t="str">
        <x:f>IF(C333="☑ Yes",A333,"")</x:f>
      </x:c>
      <x:c r="F333" s="89" t="str">
        <x:f>IF(B333="","",COUNTIF($B$2:$B$500,"&lt;"&amp;B333)+COUNTIF($B$2:B333,B333))</x:f>
      </x:c>
      <x:c r="G333" s="89" t="str">
        <x:f>IFERROR(INDEX($B$2:$B$500,MATCH(ROWS($G$2:G333),$F$2:$F$500,0)),"")</x:f>
      </x:c>
      <x:c r="H333" s="90" t="str">
        <x:f>IFERROR(INDEX($A$2:$A$500,MATCH(G333,$B$2:$B$500,0)),"")</x:f>
      </x:c>
    </x:row>
    <x:row r="334" ht="22" customHeight="1">
      <x:c r="A334" s="45"/>
      <x:c r="B334" s="42"/>
      <x:c r="C334" s="46"/>
      <x:c r="D334" s="4"/>
      <x:c r="E334" s="47" t="str">
        <x:f>IF(C334="☑ Yes",A334,"")</x:f>
      </x:c>
      <x:c r="F334" s="89" t="str">
        <x:f>IF(B334="","",COUNTIF($B$2:$B$500,"&lt;"&amp;B334)+COUNTIF($B$2:B334,B334))</x:f>
      </x:c>
      <x:c r="G334" s="89" t="str">
        <x:f>IFERROR(INDEX($B$2:$B$500,MATCH(ROWS($G$2:G334),$F$2:$F$500,0)),"")</x:f>
      </x:c>
      <x:c r="H334" s="90" t="str">
        <x:f>IFERROR(INDEX($A$2:$A$500,MATCH(G334,$B$2:$B$500,0)),"")</x:f>
      </x:c>
    </x:row>
    <x:row r="335" ht="22" customHeight="1">
      <x:c r="A335" s="45"/>
      <x:c r="B335" s="42"/>
      <x:c r="C335" s="46"/>
      <x:c r="D335" s="4"/>
      <x:c r="E335" s="47" t="str">
        <x:f>IF(C335="☑ Yes",A335,"")</x:f>
      </x:c>
      <x:c r="F335" s="89" t="str">
        <x:f>IF(B335="","",COUNTIF($B$2:$B$500,"&lt;"&amp;B335)+COUNTIF($B$2:B335,B335))</x:f>
      </x:c>
      <x:c r="G335" s="89" t="str">
        <x:f>IFERROR(INDEX($B$2:$B$500,MATCH(ROWS($G$2:G335),$F$2:$F$500,0)),"")</x:f>
      </x:c>
      <x:c r="H335" s="90" t="str">
        <x:f>IFERROR(INDEX($A$2:$A$500,MATCH(G335,$B$2:$B$500,0)),"")</x:f>
      </x:c>
    </x:row>
    <x:row r="336" ht="22" customHeight="1">
      <x:c r="A336" s="45"/>
      <x:c r="B336" s="42"/>
      <x:c r="C336" s="46"/>
      <x:c r="D336" s="4"/>
      <x:c r="E336" s="47" t="str">
        <x:f>IF(C336="☑ Yes",A336,"")</x:f>
      </x:c>
      <x:c r="F336" s="89" t="str">
        <x:f>IF(B336="","",COUNTIF($B$2:$B$500,"&lt;"&amp;B336)+COUNTIF($B$2:B336,B336))</x:f>
      </x:c>
      <x:c r="G336" s="89" t="str">
        <x:f>IFERROR(INDEX($B$2:$B$500,MATCH(ROWS($G$2:G336),$F$2:$F$500,0)),"")</x:f>
      </x:c>
      <x:c r="H336" s="90" t="str">
        <x:f>IFERROR(INDEX($A$2:$A$500,MATCH(G336,$B$2:$B$500,0)),"")</x:f>
      </x:c>
    </x:row>
    <x:row r="337" ht="22" customHeight="1">
      <x:c r="A337" s="45"/>
      <x:c r="B337" s="42"/>
      <x:c r="C337" s="46"/>
      <x:c r="D337" s="4"/>
      <x:c r="E337" s="47" t="str">
        <x:f>IF(C337="☑ Yes",A337,"")</x:f>
      </x:c>
      <x:c r="F337" s="89" t="str">
        <x:f>IF(B337="","",COUNTIF($B$2:$B$500,"&lt;"&amp;B337)+COUNTIF($B$2:B337,B337))</x:f>
      </x:c>
      <x:c r="G337" s="89" t="str">
        <x:f>IFERROR(INDEX($B$2:$B$500,MATCH(ROWS($G$2:G337),$F$2:$F$500,0)),"")</x:f>
      </x:c>
      <x:c r="H337" s="90" t="str">
        <x:f>IFERROR(INDEX($A$2:$A$500,MATCH(G337,$B$2:$B$500,0)),"")</x:f>
      </x:c>
    </x:row>
    <x:row r="338" ht="22" customHeight="1">
      <x:c r="A338" s="45"/>
      <x:c r="B338" s="42"/>
      <x:c r="C338" s="46"/>
      <x:c r="D338" s="4"/>
      <x:c r="E338" s="47" t="str">
        <x:f>IF(C338="☑ Yes",A338,"")</x:f>
      </x:c>
      <x:c r="F338" s="89" t="str">
        <x:f>IF(B338="","",COUNTIF($B$2:$B$500,"&lt;"&amp;B338)+COUNTIF($B$2:B338,B338))</x:f>
      </x:c>
      <x:c r="G338" s="89" t="str">
        <x:f>IFERROR(INDEX($B$2:$B$500,MATCH(ROWS($G$2:G338),$F$2:$F$500,0)),"")</x:f>
      </x:c>
      <x:c r="H338" s="90" t="str">
        <x:f>IFERROR(INDEX($A$2:$A$500,MATCH(G338,$B$2:$B$500,0)),"")</x:f>
      </x:c>
    </x:row>
    <x:row r="339" ht="22" customHeight="1">
      <x:c r="A339" s="45"/>
      <x:c r="B339" s="42"/>
      <x:c r="C339" s="46"/>
      <x:c r="D339" s="4"/>
      <x:c r="E339" s="47" t="str">
        <x:f>IF(C339="☑ Yes",A339,"")</x:f>
      </x:c>
      <x:c r="F339" s="89" t="str">
        <x:f>IF(B339="","",COUNTIF($B$2:$B$500,"&lt;"&amp;B339)+COUNTIF($B$2:B339,B339))</x:f>
      </x:c>
      <x:c r="G339" s="89" t="str">
        <x:f>IFERROR(INDEX($B$2:$B$500,MATCH(ROWS($G$2:G339),$F$2:$F$500,0)),"")</x:f>
      </x:c>
      <x:c r="H339" s="90" t="str">
        <x:f>IFERROR(INDEX($A$2:$A$500,MATCH(G339,$B$2:$B$500,0)),"")</x:f>
      </x:c>
    </x:row>
    <x:row r="340" ht="22" customHeight="1">
      <x:c r="A340" s="45"/>
      <x:c r="B340" s="42"/>
      <x:c r="C340" s="46"/>
      <x:c r="D340" s="4"/>
      <x:c r="E340" s="47" t="str">
        <x:f>IF(C340="☑ Yes",A340,"")</x:f>
      </x:c>
      <x:c r="F340" s="89" t="str">
        <x:f>IF(B340="","",COUNTIF($B$2:$B$500,"&lt;"&amp;B340)+COUNTIF($B$2:B340,B340))</x:f>
      </x:c>
      <x:c r="G340" s="89" t="str">
        <x:f>IFERROR(INDEX($B$2:$B$500,MATCH(ROWS($G$2:G340),$F$2:$F$500,0)),"")</x:f>
      </x:c>
      <x:c r="H340" s="90" t="str">
        <x:f>IFERROR(INDEX($A$2:$A$500,MATCH(G340,$B$2:$B$500,0)),"")</x:f>
      </x:c>
    </x:row>
    <x:row r="341" ht="22" customHeight="1">
      <x:c r="A341" s="45"/>
      <x:c r="B341" s="42"/>
      <x:c r="C341" s="46"/>
      <x:c r="D341" s="4"/>
      <x:c r="E341" s="47" t="str">
        <x:f>IF(C341="☑ Yes",A341,"")</x:f>
      </x:c>
      <x:c r="F341" s="89" t="str">
        <x:f>IF(B341="","",COUNTIF($B$2:$B$500,"&lt;"&amp;B341)+COUNTIF($B$2:B341,B341))</x:f>
      </x:c>
      <x:c r="G341" s="89" t="str">
        <x:f>IFERROR(INDEX($B$2:$B$500,MATCH(ROWS($G$2:G341),$F$2:$F$500,0)),"")</x:f>
      </x:c>
      <x:c r="H341" s="90" t="str">
        <x:f>IFERROR(INDEX($A$2:$A$500,MATCH(G341,$B$2:$B$500,0)),"")</x:f>
      </x:c>
    </x:row>
    <x:row r="342" ht="22" customHeight="1">
      <x:c r="A342" s="45"/>
      <x:c r="B342" s="42"/>
      <x:c r="C342" s="46"/>
      <x:c r="D342" s="4"/>
      <x:c r="E342" s="47" t="str">
        <x:f>IF(C342="☑ Yes",A342,"")</x:f>
      </x:c>
      <x:c r="F342" s="89" t="str">
        <x:f>IF(B342="","",COUNTIF($B$2:$B$500,"&lt;"&amp;B342)+COUNTIF($B$2:B342,B342))</x:f>
      </x:c>
      <x:c r="G342" s="89" t="str">
        <x:f>IFERROR(INDEX($B$2:$B$500,MATCH(ROWS($G$2:G342),$F$2:$F$500,0)),"")</x:f>
      </x:c>
      <x:c r="H342" s="90" t="str">
        <x:f>IFERROR(INDEX($A$2:$A$500,MATCH(G342,$B$2:$B$500,0)),"")</x:f>
      </x:c>
    </x:row>
    <x:row r="343" ht="22" customHeight="1">
      <x:c r="A343" s="45"/>
      <x:c r="B343" s="42"/>
      <x:c r="C343" s="46"/>
      <x:c r="D343" s="4"/>
      <x:c r="E343" s="47" t="str">
        <x:f>IF(C343="☑ Yes",A343,"")</x:f>
      </x:c>
      <x:c r="F343" s="89" t="str">
        <x:f>IF(B343="","",COUNTIF($B$2:$B$500,"&lt;"&amp;B343)+COUNTIF($B$2:B343,B343))</x:f>
      </x:c>
      <x:c r="G343" s="89" t="str">
        <x:f>IFERROR(INDEX($B$2:$B$500,MATCH(ROWS($G$2:G343),$F$2:$F$500,0)),"")</x:f>
      </x:c>
      <x:c r="H343" s="90" t="str">
        <x:f>IFERROR(INDEX($A$2:$A$500,MATCH(G343,$B$2:$B$500,0)),"")</x:f>
      </x:c>
    </x:row>
    <x:row r="344" ht="22" customHeight="1">
      <x:c r="A344" s="45"/>
      <x:c r="B344" s="42"/>
      <x:c r="C344" s="46"/>
      <x:c r="D344" s="4"/>
      <x:c r="E344" s="47" t="str">
        <x:f>IF(C344="☑ Yes",A344,"")</x:f>
      </x:c>
      <x:c r="F344" s="89" t="str">
        <x:f>IF(B344="","",COUNTIF($B$2:$B$500,"&lt;"&amp;B344)+COUNTIF($B$2:B344,B344))</x:f>
      </x:c>
      <x:c r="G344" s="89" t="str">
        <x:f>IFERROR(INDEX($B$2:$B$500,MATCH(ROWS($G$2:G344),$F$2:$F$500,0)),"")</x:f>
      </x:c>
      <x:c r="H344" s="90" t="str">
        <x:f>IFERROR(INDEX($A$2:$A$500,MATCH(G344,$B$2:$B$500,0)),"")</x:f>
      </x:c>
    </x:row>
    <x:row r="345" ht="22" customHeight="1">
      <x:c r="A345" s="45"/>
      <x:c r="B345" s="42"/>
      <x:c r="C345" s="46"/>
      <x:c r="D345" s="4"/>
      <x:c r="E345" s="47" t="str">
        <x:f>IF(C345="☑ Yes",A345,"")</x:f>
      </x:c>
      <x:c r="F345" s="89" t="str">
        <x:f>IF(B345="","",COUNTIF($B$2:$B$500,"&lt;"&amp;B345)+COUNTIF($B$2:B345,B345))</x:f>
      </x:c>
      <x:c r="G345" s="89" t="str">
        <x:f>IFERROR(INDEX($B$2:$B$500,MATCH(ROWS($G$2:G345),$F$2:$F$500,0)),"")</x:f>
      </x:c>
      <x:c r="H345" s="90" t="str">
        <x:f>IFERROR(INDEX($A$2:$A$500,MATCH(G345,$B$2:$B$500,0)),"")</x:f>
      </x:c>
    </x:row>
    <x:row r="346" ht="22" customHeight="1">
      <x:c r="A346" s="45"/>
      <x:c r="B346" s="42"/>
      <x:c r="C346" s="46"/>
      <x:c r="D346" s="4"/>
      <x:c r="E346" s="47" t="str">
        <x:f>IF(C346="☑ Yes",A346,"")</x:f>
      </x:c>
      <x:c r="F346" s="89" t="str">
        <x:f>IF(B346="","",COUNTIF($B$2:$B$500,"&lt;"&amp;B346)+COUNTIF($B$2:B346,B346))</x:f>
      </x:c>
      <x:c r="G346" s="89" t="str">
        <x:f>IFERROR(INDEX($B$2:$B$500,MATCH(ROWS($G$2:G346),$F$2:$F$500,0)),"")</x:f>
      </x:c>
      <x:c r="H346" s="90" t="str">
        <x:f>IFERROR(INDEX($A$2:$A$500,MATCH(G346,$B$2:$B$500,0)),"")</x:f>
      </x:c>
    </x:row>
    <x:row r="347" ht="22" customHeight="1">
      <x:c r="A347" s="45"/>
      <x:c r="B347" s="42"/>
      <x:c r="C347" s="46"/>
      <x:c r="D347" s="4"/>
      <x:c r="E347" s="47" t="str">
        <x:f>IF(C347="☑ Yes",A347,"")</x:f>
      </x:c>
      <x:c r="F347" s="89" t="str">
        <x:f>IF(B347="","",COUNTIF($B$2:$B$500,"&lt;"&amp;B347)+COUNTIF($B$2:B347,B347))</x:f>
      </x:c>
      <x:c r="G347" s="89" t="str">
        <x:f>IFERROR(INDEX($B$2:$B$500,MATCH(ROWS($G$2:G347),$F$2:$F$500,0)),"")</x:f>
      </x:c>
      <x:c r="H347" s="90" t="str">
        <x:f>IFERROR(INDEX($A$2:$A$500,MATCH(G347,$B$2:$B$500,0)),"")</x:f>
      </x:c>
    </x:row>
    <x:row r="348" ht="22" customHeight="1">
      <x:c r="A348" s="45"/>
      <x:c r="B348" s="42"/>
      <x:c r="C348" s="46"/>
      <x:c r="D348" s="4"/>
      <x:c r="E348" s="47" t="str">
        <x:f>IF(C348="☑ Yes",A348,"")</x:f>
      </x:c>
      <x:c r="F348" s="89" t="str">
        <x:f>IF(B348="","",COUNTIF($B$2:$B$500,"&lt;"&amp;B348)+COUNTIF($B$2:B348,B348))</x:f>
      </x:c>
      <x:c r="G348" s="89" t="str">
        <x:f>IFERROR(INDEX($B$2:$B$500,MATCH(ROWS($G$2:G348),$F$2:$F$500,0)),"")</x:f>
      </x:c>
      <x:c r="H348" s="90" t="str">
        <x:f>IFERROR(INDEX($A$2:$A$500,MATCH(G348,$B$2:$B$500,0)),"")</x:f>
      </x:c>
    </x:row>
    <x:row r="349" ht="22" customHeight="1">
      <x:c r="A349" s="45"/>
      <x:c r="B349" s="42"/>
      <x:c r="C349" s="46"/>
      <x:c r="D349" s="4"/>
      <x:c r="E349" s="47" t="str">
        <x:f>IF(C349="☑ Yes",A349,"")</x:f>
      </x:c>
      <x:c r="F349" s="89" t="str">
        <x:f>IF(B349="","",COUNTIF($B$2:$B$500,"&lt;"&amp;B349)+COUNTIF($B$2:B349,B349))</x:f>
      </x:c>
      <x:c r="G349" s="89" t="str">
        <x:f>IFERROR(INDEX($B$2:$B$500,MATCH(ROWS($G$2:G349),$F$2:$F$500,0)),"")</x:f>
      </x:c>
      <x:c r="H349" s="90" t="str">
        <x:f>IFERROR(INDEX($A$2:$A$500,MATCH(G349,$B$2:$B$500,0)),"")</x:f>
      </x:c>
    </x:row>
    <x:row r="350" ht="22" customHeight="1">
      <x:c r="A350" s="45"/>
      <x:c r="B350" s="42"/>
      <x:c r="C350" s="46"/>
      <x:c r="D350" s="4"/>
      <x:c r="E350" s="47" t="str">
        <x:f>IF(C350="☑ Yes",A350,"")</x:f>
      </x:c>
      <x:c r="F350" s="89" t="str">
        <x:f>IF(B350="","",COUNTIF($B$2:$B$500,"&lt;"&amp;B350)+COUNTIF($B$2:B350,B350))</x:f>
      </x:c>
      <x:c r="G350" s="89" t="str">
        <x:f>IFERROR(INDEX($B$2:$B$500,MATCH(ROWS($G$2:G350),$F$2:$F$500,0)),"")</x:f>
      </x:c>
      <x:c r="H350" s="90" t="str">
        <x:f>IFERROR(INDEX($A$2:$A$500,MATCH(G350,$B$2:$B$500,0)),"")</x:f>
      </x:c>
    </x:row>
    <x:row r="351" ht="22" customHeight="1">
      <x:c r="A351" s="45"/>
      <x:c r="B351" s="42"/>
      <x:c r="C351" s="46"/>
      <x:c r="D351" s="4"/>
      <x:c r="E351" s="47" t="str">
        <x:f>IF(C351="☑ Yes",A351,"")</x:f>
      </x:c>
      <x:c r="F351" s="89" t="str">
        <x:f>IF(B351="","",COUNTIF($B$2:$B$500,"&lt;"&amp;B351)+COUNTIF($B$2:B351,B351))</x:f>
      </x:c>
      <x:c r="G351" s="89" t="str">
        <x:f>IFERROR(INDEX($B$2:$B$500,MATCH(ROWS($G$2:G351),$F$2:$F$500,0)),"")</x:f>
      </x:c>
      <x:c r="H351" s="90" t="str">
        <x:f>IFERROR(INDEX($A$2:$A$500,MATCH(G351,$B$2:$B$500,0)),"")</x:f>
      </x:c>
    </x:row>
    <x:row r="352" ht="22" customHeight="1">
      <x:c r="A352" s="45"/>
      <x:c r="B352" s="42"/>
      <x:c r="C352" s="46"/>
      <x:c r="D352" s="4"/>
      <x:c r="E352" s="47" t="str">
        <x:f>IF(C352="☑ Yes",A352,"")</x:f>
      </x:c>
      <x:c r="F352" s="89" t="str">
        <x:f>IF(B352="","",COUNTIF($B$2:$B$500,"&lt;"&amp;B352)+COUNTIF($B$2:B352,B352))</x:f>
      </x:c>
      <x:c r="G352" s="89" t="str">
        <x:f>IFERROR(INDEX($B$2:$B$500,MATCH(ROWS($G$2:G352),$F$2:$F$500,0)),"")</x:f>
      </x:c>
      <x:c r="H352" s="90" t="str">
        <x:f>IFERROR(INDEX($A$2:$A$500,MATCH(G352,$B$2:$B$500,0)),"")</x:f>
      </x:c>
    </x:row>
    <x:row r="353" ht="22" customHeight="1">
      <x:c r="A353" s="45"/>
      <x:c r="B353" s="42"/>
      <x:c r="C353" s="46"/>
      <x:c r="D353" s="4"/>
      <x:c r="E353" s="47" t="str">
        <x:f>IF(C353="☑ Yes",A353,"")</x:f>
      </x:c>
      <x:c r="F353" s="89" t="str">
        <x:f>IF(B353="","",COUNTIF($B$2:$B$500,"&lt;"&amp;B353)+COUNTIF($B$2:B353,B353))</x:f>
      </x:c>
      <x:c r="G353" s="89" t="str">
        <x:f>IFERROR(INDEX($B$2:$B$500,MATCH(ROWS($G$2:G353),$F$2:$F$500,0)),"")</x:f>
      </x:c>
      <x:c r="H353" s="90" t="str">
        <x:f>IFERROR(INDEX($A$2:$A$500,MATCH(G353,$B$2:$B$500,0)),"")</x:f>
      </x:c>
    </x:row>
    <x:row r="354" ht="22" customHeight="1">
      <x:c r="A354" s="45"/>
      <x:c r="B354" s="42"/>
      <x:c r="C354" s="46"/>
      <x:c r="D354" s="4"/>
      <x:c r="E354" s="47" t="str">
        <x:f>IF(C354="☑ Yes",A354,"")</x:f>
      </x:c>
      <x:c r="F354" s="89" t="str">
        <x:f>IF(B354="","",COUNTIF($B$2:$B$500,"&lt;"&amp;B354)+COUNTIF($B$2:B354,B354))</x:f>
      </x:c>
      <x:c r="G354" s="89" t="str">
        <x:f>IFERROR(INDEX($B$2:$B$500,MATCH(ROWS($G$2:G354),$F$2:$F$500,0)),"")</x:f>
      </x:c>
      <x:c r="H354" s="90" t="str">
        <x:f>IFERROR(INDEX($A$2:$A$500,MATCH(G354,$B$2:$B$500,0)),"")</x:f>
      </x:c>
    </x:row>
    <x:row r="355" ht="22" customHeight="1">
      <x:c r="A355" s="45"/>
      <x:c r="B355" s="42"/>
      <x:c r="C355" s="46"/>
      <x:c r="D355" s="4"/>
      <x:c r="E355" s="47" t="str">
        <x:f>IF(C355="☑ Yes",A355,"")</x:f>
      </x:c>
      <x:c r="F355" s="89" t="str">
        <x:f>IF(B355="","",COUNTIF($B$2:$B$500,"&lt;"&amp;B355)+COUNTIF($B$2:B355,B355))</x:f>
      </x:c>
      <x:c r="G355" s="89" t="str">
        <x:f>IFERROR(INDEX($B$2:$B$500,MATCH(ROWS($G$2:G355),$F$2:$F$500,0)),"")</x:f>
      </x:c>
      <x:c r="H355" s="90" t="str">
        <x:f>IFERROR(INDEX($A$2:$A$500,MATCH(G355,$B$2:$B$500,0)),"")</x:f>
      </x:c>
    </x:row>
    <x:row r="356" ht="22" customHeight="1">
      <x:c r="A356" s="45"/>
      <x:c r="B356" s="42"/>
      <x:c r="C356" s="46"/>
      <x:c r="D356" s="4"/>
      <x:c r="E356" s="47" t="str">
        <x:f>IF(C356="☑ Yes",A356,"")</x:f>
      </x:c>
      <x:c r="F356" s="89" t="str">
        <x:f>IF(B356="","",COUNTIF($B$2:$B$500,"&lt;"&amp;B356)+COUNTIF($B$2:B356,B356))</x:f>
      </x:c>
      <x:c r="G356" s="89" t="str">
        <x:f>IFERROR(INDEX($B$2:$B$500,MATCH(ROWS($G$2:G356),$F$2:$F$500,0)),"")</x:f>
      </x:c>
      <x:c r="H356" s="90" t="str">
        <x:f>IFERROR(INDEX($A$2:$A$500,MATCH(G356,$B$2:$B$500,0)),"")</x:f>
      </x:c>
    </x:row>
    <x:row r="357" ht="22" customHeight="1">
      <x:c r="A357" s="45"/>
      <x:c r="B357" s="42"/>
      <x:c r="C357" s="46"/>
      <x:c r="D357" s="4"/>
      <x:c r="E357" s="47" t="str">
        <x:f>IF(C357="☑ Yes",A357,"")</x:f>
      </x:c>
      <x:c r="F357" s="89" t="str">
        <x:f>IF(B357="","",COUNTIF($B$2:$B$500,"&lt;"&amp;B357)+COUNTIF($B$2:B357,B357))</x:f>
      </x:c>
      <x:c r="G357" s="89" t="str">
        <x:f>IFERROR(INDEX($B$2:$B$500,MATCH(ROWS($G$2:G357),$F$2:$F$500,0)),"")</x:f>
      </x:c>
      <x:c r="H357" s="90" t="str">
        <x:f>IFERROR(INDEX($A$2:$A$500,MATCH(G357,$B$2:$B$500,0)),"")</x:f>
      </x:c>
    </x:row>
    <x:row r="358" ht="22" customHeight="1">
      <x:c r="A358" s="45"/>
      <x:c r="B358" s="42"/>
      <x:c r="C358" s="46"/>
      <x:c r="D358" s="4"/>
      <x:c r="E358" s="47" t="str">
        <x:f>IF(C358="☑ Yes",A358,"")</x:f>
      </x:c>
      <x:c r="F358" s="89" t="str">
        <x:f>IF(B358="","",COUNTIF($B$2:$B$500,"&lt;"&amp;B358)+COUNTIF($B$2:B358,B358))</x:f>
      </x:c>
      <x:c r="G358" s="89" t="str">
        <x:f>IFERROR(INDEX($B$2:$B$500,MATCH(ROWS($G$2:G358),$F$2:$F$500,0)),"")</x:f>
      </x:c>
      <x:c r="H358" s="90" t="str">
        <x:f>IFERROR(INDEX($A$2:$A$500,MATCH(G358,$B$2:$B$500,0)),"")</x:f>
      </x:c>
    </x:row>
    <x:row r="359" ht="22" customHeight="1">
      <x:c r="A359" s="45"/>
      <x:c r="B359" s="42"/>
      <x:c r="C359" s="46"/>
      <x:c r="D359" s="4"/>
      <x:c r="E359" s="47" t="str">
        <x:f>IF(C359="☑ Yes",A359,"")</x:f>
      </x:c>
      <x:c r="F359" s="89" t="str">
        <x:f>IF(B359="","",COUNTIF($B$2:$B$500,"&lt;"&amp;B359)+COUNTIF($B$2:B359,B359))</x:f>
      </x:c>
      <x:c r="G359" s="89" t="str">
        <x:f>IFERROR(INDEX($B$2:$B$500,MATCH(ROWS($G$2:G359),$F$2:$F$500,0)),"")</x:f>
      </x:c>
      <x:c r="H359" s="90" t="str">
        <x:f>IFERROR(INDEX($A$2:$A$500,MATCH(G359,$B$2:$B$500,0)),"")</x:f>
      </x:c>
    </x:row>
    <x:row r="360" ht="22" customHeight="1">
      <x:c r="A360" s="45"/>
      <x:c r="B360" s="42"/>
      <x:c r="C360" s="46"/>
      <x:c r="D360" s="4"/>
      <x:c r="E360" s="47" t="str">
        <x:f>IF(C360="☑ Yes",A360,"")</x:f>
      </x:c>
      <x:c r="F360" s="89" t="str">
        <x:f>IF(B360="","",COUNTIF($B$2:$B$500,"&lt;"&amp;B360)+COUNTIF($B$2:B360,B360))</x:f>
      </x:c>
      <x:c r="G360" s="89" t="str">
        <x:f>IFERROR(INDEX($B$2:$B$500,MATCH(ROWS($G$2:G360),$F$2:$F$500,0)),"")</x:f>
      </x:c>
      <x:c r="H360" s="90" t="str">
        <x:f>IFERROR(INDEX($A$2:$A$500,MATCH(G360,$B$2:$B$500,0)),"")</x:f>
      </x:c>
    </x:row>
    <x:row r="361" ht="22" customHeight="1">
      <x:c r="A361" s="45"/>
      <x:c r="B361" s="42"/>
      <x:c r="C361" s="46"/>
      <x:c r="D361" s="4"/>
      <x:c r="E361" s="47" t="str">
        <x:f>IF(C361="☑ Yes",A361,"")</x:f>
      </x:c>
      <x:c r="F361" s="89" t="str">
        <x:f>IF(B361="","",COUNTIF($B$2:$B$500,"&lt;"&amp;B361)+COUNTIF($B$2:B361,B361))</x:f>
      </x:c>
      <x:c r="G361" s="89" t="str">
        <x:f>IFERROR(INDEX($B$2:$B$500,MATCH(ROWS($G$2:G361),$F$2:$F$500,0)),"")</x:f>
      </x:c>
      <x:c r="H361" s="90" t="str">
        <x:f>IFERROR(INDEX($A$2:$A$500,MATCH(G361,$B$2:$B$500,0)),"")</x:f>
      </x:c>
    </x:row>
    <x:row r="362" ht="22" customHeight="1">
      <x:c r="A362" s="45"/>
      <x:c r="B362" s="42"/>
      <x:c r="C362" s="46"/>
      <x:c r="D362" s="4"/>
      <x:c r="E362" s="47" t="str">
        <x:f>IF(C362="☑ Yes",A362,"")</x:f>
      </x:c>
      <x:c r="F362" s="89" t="str">
        <x:f>IF(B362="","",COUNTIF($B$2:$B$500,"&lt;"&amp;B362)+COUNTIF($B$2:B362,B362))</x:f>
      </x:c>
      <x:c r="G362" s="89" t="str">
        <x:f>IFERROR(INDEX($B$2:$B$500,MATCH(ROWS($G$2:G362),$F$2:$F$500,0)),"")</x:f>
      </x:c>
      <x:c r="H362" s="90" t="str">
        <x:f>IFERROR(INDEX($A$2:$A$500,MATCH(G362,$B$2:$B$500,0)),"")</x:f>
      </x:c>
    </x:row>
    <x:row r="363" ht="22" customHeight="1">
      <x:c r="A363" s="45"/>
      <x:c r="B363" s="42"/>
      <x:c r="C363" s="46"/>
      <x:c r="D363" s="4"/>
      <x:c r="E363" s="47" t="str">
        <x:f>IF(C363="☑ Yes",A363,"")</x:f>
      </x:c>
      <x:c r="F363" s="89" t="str">
        <x:f>IF(B363="","",COUNTIF($B$2:$B$500,"&lt;"&amp;B363)+COUNTIF($B$2:B363,B363))</x:f>
      </x:c>
      <x:c r="G363" s="89" t="str">
        <x:f>IFERROR(INDEX($B$2:$B$500,MATCH(ROWS($G$2:G363),$F$2:$F$500,0)),"")</x:f>
      </x:c>
      <x:c r="H363" s="90" t="str">
        <x:f>IFERROR(INDEX($A$2:$A$500,MATCH(G363,$B$2:$B$500,0)),"")</x:f>
      </x:c>
    </x:row>
    <x:row r="364" ht="22" customHeight="1">
      <x:c r="A364" s="45"/>
      <x:c r="B364" s="42"/>
      <x:c r="C364" s="46"/>
      <x:c r="D364" s="4"/>
      <x:c r="E364" s="47" t="str">
        <x:f>IF(C364="☑ Yes",A364,"")</x:f>
      </x:c>
      <x:c r="F364" s="89" t="str">
        <x:f>IF(B364="","",COUNTIF($B$2:$B$500,"&lt;"&amp;B364)+COUNTIF($B$2:B364,B364))</x:f>
      </x:c>
      <x:c r="G364" s="89" t="str">
        <x:f>IFERROR(INDEX($B$2:$B$500,MATCH(ROWS($G$2:G364),$F$2:$F$500,0)),"")</x:f>
      </x:c>
      <x:c r="H364" s="90" t="str">
        <x:f>IFERROR(INDEX($A$2:$A$500,MATCH(G364,$B$2:$B$500,0)),"")</x:f>
      </x:c>
    </x:row>
    <x:row r="365" ht="22" customHeight="1">
      <x:c r="A365" s="45"/>
      <x:c r="B365" s="42"/>
      <x:c r="C365" s="46"/>
      <x:c r="D365" s="4"/>
      <x:c r="E365" s="47" t="str">
        <x:f>IF(C365="☑ Yes",A365,"")</x:f>
      </x:c>
      <x:c r="F365" s="89" t="str">
        <x:f>IF(B365="","",COUNTIF($B$2:$B$500,"&lt;"&amp;B365)+COUNTIF($B$2:B365,B365))</x:f>
      </x:c>
      <x:c r="G365" s="89" t="str">
        <x:f>IFERROR(INDEX($B$2:$B$500,MATCH(ROWS($G$2:G365),$F$2:$F$500,0)),"")</x:f>
      </x:c>
      <x:c r="H365" s="90" t="str">
        <x:f>IFERROR(INDEX($A$2:$A$500,MATCH(G365,$B$2:$B$500,0)),"")</x:f>
      </x:c>
    </x:row>
    <x:row r="366" ht="22" customHeight="1">
      <x:c r="A366" s="45"/>
      <x:c r="B366" s="42"/>
      <x:c r="C366" s="46"/>
      <x:c r="D366" s="4"/>
      <x:c r="E366" s="47" t="str">
        <x:f>IF(C366="☑ Yes",A366,"")</x:f>
      </x:c>
      <x:c r="F366" s="89" t="str">
        <x:f>IF(B366="","",COUNTIF($B$2:$B$500,"&lt;"&amp;B366)+COUNTIF($B$2:B366,B366))</x:f>
      </x:c>
      <x:c r="G366" s="89" t="str">
        <x:f>IFERROR(INDEX($B$2:$B$500,MATCH(ROWS($G$2:G366),$F$2:$F$500,0)),"")</x:f>
      </x:c>
      <x:c r="H366" s="90" t="str">
        <x:f>IFERROR(INDEX($A$2:$A$500,MATCH(G366,$B$2:$B$500,0)),"")</x:f>
      </x:c>
    </x:row>
    <x:row r="367" ht="22" customHeight="1">
      <x:c r="A367" s="45"/>
      <x:c r="B367" s="42"/>
      <x:c r="C367" s="46"/>
      <x:c r="D367" s="4"/>
      <x:c r="E367" s="47" t="str">
        <x:f>IF(C367="☑ Yes",A367,"")</x:f>
      </x:c>
      <x:c r="F367" s="89" t="str">
        <x:f>IF(B367="","",COUNTIF($B$2:$B$500,"&lt;"&amp;B367)+COUNTIF($B$2:B367,B367))</x:f>
      </x:c>
      <x:c r="G367" s="89" t="str">
        <x:f>IFERROR(INDEX($B$2:$B$500,MATCH(ROWS($G$2:G367),$F$2:$F$500,0)),"")</x:f>
      </x:c>
      <x:c r="H367" s="90" t="str">
        <x:f>IFERROR(INDEX($A$2:$A$500,MATCH(G367,$B$2:$B$500,0)),"")</x:f>
      </x:c>
    </x:row>
    <x:row r="368" ht="22" customHeight="1">
      <x:c r="A368" s="45"/>
      <x:c r="B368" s="42"/>
      <x:c r="C368" s="46"/>
      <x:c r="D368" s="4"/>
      <x:c r="E368" s="47" t="str">
        <x:f>IF(C368="☑ Yes",A368,"")</x:f>
      </x:c>
      <x:c r="F368" s="89" t="str">
        <x:f>IF(B368="","",COUNTIF($B$2:$B$500,"&lt;"&amp;B368)+COUNTIF($B$2:B368,B368))</x:f>
      </x:c>
      <x:c r="G368" s="89" t="str">
        <x:f>IFERROR(INDEX($B$2:$B$500,MATCH(ROWS($G$2:G368),$F$2:$F$500,0)),"")</x:f>
      </x:c>
      <x:c r="H368" s="90" t="str">
        <x:f>IFERROR(INDEX($A$2:$A$500,MATCH(G368,$B$2:$B$500,0)),"")</x:f>
      </x:c>
    </x:row>
    <x:row r="369" ht="22" customHeight="1">
      <x:c r="A369" s="45"/>
      <x:c r="B369" s="42"/>
      <x:c r="C369" s="46"/>
      <x:c r="D369" s="4"/>
      <x:c r="E369" s="47" t="str">
        <x:f>IF(C369="☑ Yes",A369,"")</x:f>
      </x:c>
      <x:c r="F369" s="89" t="str">
        <x:f>IF(B369="","",COUNTIF($B$2:$B$500,"&lt;"&amp;B369)+COUNTIF($B$2:B369,B369))</x:f>
      </x:c>
      <x:c r="G369" s="89" t="str">
        <x:f>IFERROR(INDEX($B$2:$B$500,MATCH(ROWS($G$2:G369),$F$2:$F$500,0)),"")</x:f>
      </x:c>
      <x:c r="H369" s="90" t="str">
        <x:f>IFERROR(INDEX($A$2:$A$500,MATCH(G369,$B$2:$B$500,0)),"")</x:f>
      </x:c>
    </x:row>
    <x:row r="370" ht="22" customHeight="1">
      <x:c r="A370" s="45"/>
      <x:c r="B370" s="42"/>
      <x:c r="C370" s="46"/>
      <x:c r="D370" s="4"/>
      <x:c r="E370" s="47" t="str">
        <x:f>IF(C370="☑ Yes",A370,"")</x:f>
      </x:c>
      <x:c r="F370" s="89" t="str">
        <x:f>IF(B370="","",COUNTIF($B$2:$B$500,"&lt;"&amp;B370)+COUNTIF($B$2:B370,B370))</x:f>
      </x:c>
      <x:c r="G370" s="89" t="str">
        <x:f>IFERROR(INDEX($B$2:$B$500,MATCH(ROWS($G$2:G370),$F$2:$F$500,0)),"")</x:f>
      </x:c>
      <x:c r="H370" s="90" t="str">
        <x:f>IFERROR(INDEX($A$2:$A$500,MATCH(G370,$B$2:$B$500,0)),"")</x:f>
      </x:c>
    </x:row>
    <x:row r="371" ht="22" customHeight="1">
      <x:c r="A371" s="45"/>
      <x:c r="B371" s="42"/>
      <x:c r="C371" s="46"/>
      <x:c r="D371" s="4"/>
      <x:c r="E371" s="47" t="str">
        <x:f>IF(C371="☑ Yes",A371,"")</x:f>
      </x:c>
      <x:c r="F371" s="89" t="str">
        <x:f>IF(B371="","",COUNTIF($B$2:$B$500,"&lt;"&amp;B371)+COUNTIF($B$2:B371,B371))</x:f>
      </x:c>
      <x:c r="G371" s="89" t="str">
        <x:f>IFERROR(INDEX($B$2:$B$500,MATCH(ROWS($G$2:G371),$F$2:$F$500,0)),"")</x:f>
      </x:c>
      <x:c r="H371" s="90" t="str">
        <x:f>IFERROR(INDEX($A$2:$A$500,MATCH(G371,$B$2:$B$500,0)),"")</x:f>
      </x:c>
    </x:row>
    <x:row r="372" ht="22" customHeight="1">
      <x:c r="A372" s="45"/>
      <x:c r="B372" s="42"/>
      <x:c r="C372" s="46"/>
      <x:c r="D372" s="4"/>
      <x:c r="E372" s="47" t="str">
        <x:f>IF(C372="☑ Yes",A372,"")</x:f>
      </x:c>
      <x:c r="F372" s="89" t="str">
        <x:f>IF(B372="","",COUNTIF($B$2:$B$500,"&lt;"&amp;B372)+COUNTIF($B$2:B372,B372))</x:f>
      </x:c>
      <x:c r="G372" s="89" t="str">
        <x:f>IFERROR(INDEX($B$2:$B$500,MATCH(ROWS($G$2:G372),$F$2:$F$500,0)),"")</x:f>
      </x:c>
      <x:c r="H372" s="90" t="str">
        <x:f>IFERROR(INDEX($A$2:$A$500,MATCH(G372,$B$2:$B$500,0)),"")</x:f>
      </x:c>
    </x:row>
    <x:row r="373" ht="22" customHeight="1">
      <x:c r="A373" s="45"/>
      <x:c r="B373" s="42"/>
      <x:c r="C373" s="46"/>
      <x:c r="D373" s="4"/>
      <x:c r="E373" s="47" t="str">
        <x:f>IF(C373="☑ Yes",A373,"")</x:f>
      </x:c>
      <x:c r="F373" s="89" t="str">
        <x:f>IF(B373="","",COUNTIF($B$2:$B$500,"&lt;"&amp;B373)+COUNTIF($B$2:B373,B373))</x:f>
      </x:c>
      <x:c r="G373" s="89" t="str">
        <x:f>IFERROR(INDEX($B$2:$B$500,MATCH(ROWS($G$2:G373),$F$2:$F$500,0)),"")</x:f>
      </x:c>
      <x:c r="H373" s="90" t="str">
        <x:f>IFERROR(INDEX($A$2:$A$500,MATCH(G373,$B$2:$B$500,0)),"")</x:f>
      </x:c>
    </x:row>
    <x:row r="374" ht="22" customHeight="1">
      <x:c r="A374" s="45"/>
      <x:c r="B374" s="42"/>
      <x:c r="C374" s="46"/>
      <x:c r="D374" s="4"/>
      <x:c r="E374" s="47" t="str">
        <x:f>IF(C374="☑ Yes",A374,"")</x:f>
      </x:c>
      <x:c r="F374" s="89" t="str">
        <x:f>IF(B374="","",COUNTIF($B$2:$B$500,"&lt;"&amp;B374)+COUNTIF($B$2:B374,B374))</x:f>
      </x:c>
      <x:c r="G374" s="89" t="str">
        <x:f>IFERROR(INDEX($B$2:$B$500,MATCH(ROWS($G$2:G374),$F$2:$F$500,0)),"")</x:f>
      </x:c>
      <x:c r="H374" s="90" t="str">
        <x:f>IFERROR(INDEX($A$2:$A$500,MATCH(G374,$B$2:$B$500,0)),"")</x:f>
      </x:c>
    </x:row>
    <x:row r="375" ht="22" customHeight="1">
      <x:c r="A375" s="45"/>
      <x:c r="B375" s="42"/>
      <x:c r="C375" s="46"/>
      <x:c r="D375" s="4"/>
      <x:c r="E375" s="47" t="str">
        <x:f>IF(C375="☑ Yes",A375,"")</x:f>
      </x:c>
      <x:c r="F375" s="89" t="str">
        <x:f>IF(B375="","",COUNTIF($B$2:$B$500,"&lt;"&amp;B375)+COUNTIF($B$2:B375,B375))</x:f>
      </x:c>
      <x:c r="G375" s="89" t="str">
        <x:f>IFERROR(INDEX($B$2:$B$500,MATCH(ROWS($G$2:G375),$F$2:$F$500,0)),"")</x:f>
      </x:c>
      <x:c r="H375" s="90" t="str">
        <x:f>IFERROR(INDEX($A$2:$A$500,MATCH(G375,$B$2:$B$500,0)),"")</x:f>
      </x:c>
    </x:row>
    <x:row r="376" ht="22" customHeight="1">
      <x:c r="A376" s="45"/>
      <x:c r="B376" s="42"/>
      <x:c r="C376" s="46"/>
      <x:c r="D376" s="4"/>
      <x:c r="E376" s="47" t="str">
        <x:f>IF(C376="☑ Yes",A376,"")</x:f>
      </x:c>
      <x:c r="F376" s="89" t="str">
        <x:f>IF(B376="","",COUNTIF($B$2:$B$500,"&lt;"&amp;B376)+COUNTIF($B$2:B376,B376))</x:f>
      </x:c>
      <x:c r="G376" s="89" t="str">
        <x:f>IFERROR(INDEX($B$2:$B$500,MATCH(ROWS($G$2:G376),$F$2:$F$500,0)),"")</x:f>
      </x:c>
      <x:c r="H376" s="90" t="str">
        <x:f>IFERROR(INDEX($A$2:$A$500,MATCH(G376,$B$2:$B$500,0)),"")</x:f>
      </x:c>
    </x:row>
    <x:row r="377" ht="22" customHeight="1">
      <x:c r="A377" s="45"/>
      <x:c r="B377" s="42"/>
      <x:c r="C377" s="46"/>
      <x:c r="D377" s="4"/>
      <x:c r="E377" s="47" t="str">
        <x:f>IF(C377="☑ Yes",A377,"")</x:f>
      </x:c>
      <x:c r="F377" s="89" t="str">
        <x:f>IF(B377="","",COUNTIF($B$2:$B$500,"&lt;"&amp;B377)+COUNTIF($B$2:B377,B377))</x:f>
      </x:c>
      <x:c r="G377" s="89" t="str">
        <x:f>IFERROR(INDEX($B$2:$B$500,MATCH(ROWS($G$2:G377),$F$2:$F$500,0)),"")</x:f>
      </x:c>
      <x:c r="H377" s="90" t="str">
        <x:f>IFERROR(INDEX($A$2:$A$500,MATCH(G377,$B$2:$B$500,0)),"")</x:f>
      </x:c>
    </x:row>
    <x:row r="378" ht="22" customHeight="1">
      <x:c r="A378" s="45"/>
      <x:c r="B378" s="42"/>
      <x:c r="C378" s="46"/>
      <x:c r="D378" s="4"/>
      <x:c r="E378" s="47" t="str">
        <x:f>IF(C378="☑ Yes",A378,"")</x:f>
      </x:c>
      <x:c r="F378" s="89" t="str">
        <x:f>IF(B378="","",COUNTIF($B$2:$B$500,"&lt;"&amp;B378)+COUNTIF($B$2:B378,B378))</x:f>
      </x:c>
      <x:c r="G378" s="89" t="str">
        <x:f>IFERROR(INDEX($B$2:$B$500,MATCH(ROWS($G$2:G378),$F$2:$F$500,0)),"")</x:f>
      </x:c>
      <x:c r="H378" s="90" t="str">
        <x:f>IFERROR(INDEX($A$2:$A$500,MATCH(G378,$B$2:$B$500,0)),"")</x:f>
      </x:c>
    </x:row>
    <x:row r="379" ht="22" customHeight="1">
      <x:c r="A379" s="45"/>
      <x:c r="B379" s="42"/>
      <x:c r="C379" s="46"/>
      <x:c r="D379" s="4"/>
      <x:c r="E379" s="47" t="str">
        <x:f>IF(C379="☑ Yes",A379,"")</x:f>
      </x:c>
      <x:c r="F379" s="89" t="str">
        <x:f>IF(B379="","",COUNTIF($B$2:$B$500,"&lt;"&amp;B379)+COUNTIF($B$2:B379,B379))</x:f>
      </x:c>
      <x:c r="G379" s="89" t="str">
        <x:f>IFERROR(INDEX($B$2:$B$500,MATCH(ROWS($G$2:G379),$F$2:$F$500,0)),"")</x:f>
      </x:c>
      <x:c r="H379" s="90" t="str">
        <x:f>IFERROR(INDEX($A$2:$A$500,MATCH(G379,$B$2:$B$500,0)),"")</x:f>
      </x:c>
    </x:row>
    <x:row r="380" ht="22" customHeight="1">
      <x:c r="A380" s="45"/>
      <x:c r="B380" s="42"/>
      <x:c r="C380" s="46"/>
      <x:c r="D380" s="4"/>
      <x:c r="E380" s="47" t="str">
        <x:f>IF(C380="☑ Yes",A380,"")</x:f>
      </x:c>
      <x:c r="F380" s="89" t="str">
        <x:f>IF(B380="","",COUNTIF($B$2:$B$500,"&lt;"&amp;B380)+COUNTIF($B$2:B380,B380))</x:f>
      </x:c>
      <x:c r="G380" s="89" t="str">
        <x:f>IFERROR(INDEX($B$2:$B$500,MATCH(ROWS($G$2:G380),$F$2:$F$500,0)),"")</x:f>
      </x:c>
      <x:c r="H380" s="90" t="str">
        <x:f>IFERROR(INDEX($A$2:$A$500,MATCH(G380,$B$2:$B$500,0)),"")</x:f>
      </x:c>
    </x:row>
    <x:row r="381" ht="22" customHeight="1">
      <x:c r="A381" s="45"/>
      <x:c r="B381" s="42"/>
      <x:c r="C381" s="46"/>
      <x:c r="D381" s="4"/>
      <x:c r="E381" s="47" t="str">
        <x:f>IF(C381="☑ Yes",A381,"")</x:f>
      </x:c>
      <x:c r="F381" s="89" t="str">
        <x:f>IF(B381="","",COUNTIF($B$2:$B$500,"&lt;"&amp;B381)+COUNTIF($B$2:B381,B381))</x:f>
      </x:c>
      <x:c r="G381" s="89" t="str">
        <x:f>IFERROR(INDEX($B$2:$B$500,MATCH(ROWS($G$2:G381),$F$2:$F$500,0)),"")</x:f>
      </x:c>
      <x:c r="H381" s="90" t="str">
        <x:f>IFERROR(INDEX($A$2:$A$500,MATCH(G381,$B$2:$B$500,0)),"")</x:f>
      </x:c>
    </x:row>
    <x:row r="382" ht="22" customHeight="1">
      <x:c r="A382" s="45"/>
      <x:c r="B382" s="42"/>
      <x:c r="C382" s="46"/>
      <x:c r="D382" s="4"/>
      <x:c r="E382" s="47" t="str">
        <x:f>IF(C382="☑ Yes",A382,"")</x:f>
      </x:c>
      <x:c r="F382" s="89" t="str">
        <x:f>IF(B382="","",COUNTIF($B$2:$B$500,"&lt;"&amp;B382)+COUNTIF($B$2:B382,B382))</x:f>
      </x:c>
      <x:c r="G382" s="89" t="str">
        <x:f>IFERROR(INDEX($B$2:$B$500,MATCH(ROWS($G$2:G382),$F$2:$F$500,0)),"")</x:f>
      </x:c>
      <x:c r="H382" s="90" t="str">
        <x:f>IFERROR(INDEX($A$2:$A$500,MATCH(G382,$B$2:$B$500,0)),"")</x:f>
      </x:c>
    </x:row>
    <x:row r="383" ht="22" customHeight="1">
      <x:c r="A383" s="45"/>
      <x:c r="B383" s="42"/>
      <x:c r="C383" s="46"/>
      <x:c r="D383" s="4"/>
      <x:c r="E383" s="47" t="str">
        <x:f>IF(C383="☑ Yes",A383,"")</x:f>
      </x:c>
      <x:c r="F383" s="89" t="str">
        <x:f>IF(B383="","",COUNTIF($B$2:$B$500,"&lt;"&amp;B383)+COUNTIF($B$2:B383,B383))</x:f>
      </x:c>
      <x:c r="G383" s="89" t="str">
        <x:f>IFERROR(INDEX($B$2:$B$500,MATCH(ROWS($G$2:G383),$F$2:$F$500,0)),"")</x:f>
      </x:c>
      <x:c r="H383" s="90" t="str">
        <x:f>IFERROR(INDEX($A$2:$A$500,MATCH(G383,$B$2:$B$500,0)),"")</x:f>
      </x:c>
    </x:row>
    <x:row r="384" ht="22" customHeight="1">
      <x:c r="A384" s="45"/>
      <x:c r="B384" s="42"/>
      <x:c r="C384" s="46"/>
      <x:c r="D384" s="4"/>
      <x:c r="E384" s="47" t="str">
        <x:f>IF(C384="☑ Yes",A384,"")</x:f>
      </x:c>
      <x:c r="F384" s="89" t="str">
        <x:f>IF(B384="","",COUNTIF($B$2:$B$500,"&lt;"&amp;B384)+COUNTIF($B$2:B384,B384))</x:f>
      </x:c>
      <x:c r="G384" s="89" t="str">
        <x:f>IFERROR(INDEX($B$2:$B$500,MATCH(ROWS($G$2:G384),$F$2:$F$500,0)),"")</x:f>
      </x:c>
      <x:c r="H384" s="90" t="str">
        <x:f>IFERROR(INDEX($A$2:$A$500,MATCH(G384,$B$2:$B$500,0)),"")</x:f>
      </x:c>
    </x:row>
    <x:row r="385" ht="22" customHeight="1">
      <x:c r="A385" s="45"/>
      <x:c r="B385" s="42"/>
      <x:c r="C385" s="46"/>
      <x:c r="D385" s="4"/>
      <x:c r="E385" s="47" t="str">
        <x:f>IF(C385="☑ Yes",A385,"")</x:f>
      </x:c>
      <x:c r="F385" s="89" t="str">
        <x:f>IF(B385="","",COUNTIF($B$2:$B$500,"&lt;"&amp;B385)+COUNTIF($B$2:B385,B385))</x:f>
      </x:c>
      <x:c r="G385" s="89" t="str">
        <x:f>IFERROR(INDEX($B$2:$B$500,MATCH(ROWS($G$2:G385),$F$2:$F$500,0)),"")</x:f>
      </x:c>
      <x:c r="H385" s="90" t="str">
        <x:f>IFERROR(INDEX($A$2:$A$500,MATCH(G385,$B$2:$B$500,0)),"")</x:f>
      </x:c>
    </x:row>
    <x:row r="386" ht="22" customHeight="1">
      <x:c r="A386" s="45"/>
      <x:c r="B386" s="42"/>
      <x:c r="C386" s="46"/>
      <x:c r="D386" s="4"/>
      <x:c r="E386" s="47" t="str">
        <x:f>IF(C386="☑ Yes",A386,"")</x:f>
      </x:c>
      <x:c r="F386" s="89" t="str">
        <x:f>IF(B386="","",COUNTIF($B$2:$B$500,"&lt;"&amp;B386)+COUNTIF($B$2:B386,B386))</x:f>
      </x:c>
      <x:c r="G386" s="89" t="str">
        <x:f>IFERROR(INDEX($B$2:$B$500,MATCH(ROWS($G$2:G386),$F$2:$F$500,0)),"")</x:f>
      </x:c>
      <x:c r="H386" s="90" t="str">
        <x:f>IFERROR(INDEX($A$2:$A$500,MATCH(G386,$B$2:$B$500,0)),"")</x:f>
      </x:c>
    </x:row>
    <x:row r="387" ht="22" customHeight="1">
      <x:c r="A387" s="45"/>
      <x:c r="B387" s="42"/>
      <x:c r="C387" s="46"/>
      <x:c r="D387" s="4"/>
      <x:c r="E387" s="47" t="str">
        <x:f>IF(C387="☑ Yes",A387,"")</x:f>
      </x:c>
      <x:c r="F387" s="89" t="str">
        <x:f>IF(B387="","",COUNTIF($B$2:$B$500,"&lt;"&amp;B387)+COUNTIF($B$2:B387,B387))</x:f>
      </x:c>
      <x:c r="G387" s="89" t="str">
        <x:f>IFERROR(INDEX($B$2:$B$500,MATCH(ROWS($G$2:G387),$F$2:$F$500,0)),"")</x:f>
      </x:c>
      <x:c r="H387" s="90" t="str">
        <x:f>IFERROR(INDEX($A$2:$A$500,MATCH(G387,$B$2:$B$500,0)),"")</x:f>
      </x:c>
    </x:row>
    <x:row r="388" ht="22" customHeight="1">
      <x:c r="A388" s="45"/>
      <x:c r="B388" s="42"/>
      <x:c r="C388" s="46"/>
      <x:c r="D388" s="4"/>
      <x:c r="E388" s="47" t="str">
        <x:f>IF(C388="☑ Yes",A388,"")</x:f>
      </x:c>
      <x:c r="F388" s="89" t="str">
        <x:f>IF(B388="","",COUNTIF($B$2:$B$500,"&lt;"&amp;B388)+COUNTIF($B$2:B388,B388))</x:f>
      </x:c>
      <x:c r="G388" s="89" t="str">
        <x:f>IFERROR(INDEX($B$2:$B$500,MATCH(ROWS($G$2:G388),$F$2:$F$500,0)),"")</x:f>
      </x:c>
      <x:c r="H388" s="90" t="str">
        <x:f>IFERROR(INDEX($A$2:$A$500,MATCH(G388,$B$2:$B$500,0)),"")</x:f>
      </x:c>
    </x:row>
    <x:row r="389" ht="22" customHeight="1">
      <x:c r="A389" s="45"/>
      <x:c r="B389" s="42"/>
      <x:c r="C389" s="46"/>
      <x:c r="D389" s="4"/>
      <x:c r="E389" s="47" t="str">
        <x:f>IF(C389="☑ Yes",A389,"")</x:f>
      </x:c>
      <x:c r="F389" s="89" t="str">
        <x:f>IF(B389="","",COUNTIF($B$2:$B$500,"&lt;"&amp;B389)+COUNTIF($B$2:B389,B389))</x:f>
      </x:c>
      <x:c r="G389" s="89" t="str">
        <x:f>IFERROR(INDEX($B$2:$B$500,MATCH(ROWS($G$2:G389),$F$2:$F$500,0)),"")</x:f>
      </x:c>
      <x:c r="H389" s="90" t="str">
        <x:f>IFERROR(INDEX($A$2:$A$500,MATCH(G389,$B$2:$B$500,0)),"")</x:f>
      </x:c>
    </x:row>
    <x:row r="390" ht="22" customHeight="1">
      <x:c r="A390" s="45"/>
      <x:c r="B390" s="42"/>
      <x:c r="C390" s="46"/>
      <x:c r="D390" s="4"/>
      <x:c r="E390" s="47" t="str">
        <x:f>IF(C390="☑ Yes",A390,"")</x:f>
      </x:c>
      <x:c r="F390" s="89" t="str">
        <x:f>IF(B390="","",COUNTIF($B$2:$B$500,"&lt;"&amp;B390)+COUNTIF($B$2:B390,B390))</x:f>
      </x:c>
      <x:c r="G390" s="89" t="str">
        <x:f>IFERROR(INDEX($B$2:$B$500,MATCH(ROWS($G$2:G390),$F$2:$F$500,0)),"")</x:f>
      </x:c>
      <x:c r="H390" s="90" t="str">
        <x:f>IFERROR(INDEX($A$2:$A$500,MATCH(G390,$B$2:$B$500,0)),"")</x:f>
      </x:c>
    </x:row>
    <x:row r="391" ht="22" customHeight="1">
      <x:c r="A391" s="45"/>
      <x:c r="B391" s="42"/>
      <x:c r="C391" s="46"/>
      <x:c r="D391" s="4"/>
      <x:c r="E391" s="47" t="str">
        <x:f>IF(C391="☑ Yes",A391,"")</x:f>
      </x:c>
      <x:c r="F391" s="89" t="str">
        <x:f>IF(B391="","",COUNTIF($B$2:$B$500,"&lt;"&amp;B391)+COUNTIF($B$2:B391,B391))</x:f>
      </x:c>
      <x:c r="G391" s="89" t="str">
        <x:f>IFERROR(INDEX($B$2:$B$500,MATCH(ROWS($G$2:G391),$F$2:$F$500,0)),"")</x:f>
      </x:c>
      <x:c r="H391" s="90" t="str">
        <x:f>IFERROR(INDEX($A$2:$A$500,MATCH(G391,$B$2:$B$500,0)),"")</x:f>
      </x:c>
    </x:row>
    <x:row r="392" ht="22" customHeight="1">
      <x:c r="A392" s="45"/>
      <x:c r="B392" s="42"/>
      <x:c r="C392" s="46"/>
      <x:c r="D392" s="4"/>
      <x:c r="E392" s="47" t="str">
        <x:f>IF(C392="☑ Yes",A392,"")</x:f>
      </x:c>
      <x:c r="F392" s="89" t="str">
        <x:f>IF(B392="","",COUNTIF($B$2:$B$500,"&lt;"&amp;B392)+COUNTIF($B$2:B392,B392))</x:f>
      </x:c>
      <x:c r="G392" s="89" t="str">
        <x:f>IFERROR(INDEX($B$2:$B$500,MATCH(ROWS($G$2:G392),$F$2:$F$500,0)),"")</x:f>
      </x:c>
      <x:c r="H392" s="90" t="str">
        <x:f>IFERROR(INDEX($A$2:$A$500,MATCH(G392,$B$2:$B$500,0)),"")</x:f>
      </x:c>
    </x:row>
    <x:row r="393" ht="22" customHeight="1">
      <x:c r="A393" s="45"/>
      <x:c r="B393" s="42"/>
      <x:c r="C393" s="46"/>
      <x:c r="D393" s="4"/>
      <x:c r="E393" s="47" t="str">
        <x:f>IF(C393="☑ Yes",A393,"")</x:f>
      </x:c>
      <x:c r="F393" s="89" t="str">
        <x:f>IF(B393="","",COUNTIF($B$2:$B$500,"&lt;"&amp;B393)+COUNTIF($B$2:B393,B393))</x:f>
      </x:c>
      <x:c r="G393" s="89" t="str">
        <x:f>IFERROR(INDEX($B$2:$B$500,MATCH(ROWS($G$2:G393),$F$2:$F$500,0)),"")</x:f>
      </x:c>
      <x:c r="H393" s="90" t="str">
        <x:f>IFERROR(INDEX($A$2:$A$500,MATCH(G393,$B$2:$B$500,0)),"")</x:f>
      </x:c>
    </x:row>
    <x:row r="394" ht="22" customHeight="1">
      <x:c r="A394" s="45"/>
      <x:c r="B394" s="42"/>
      <x:c r="C394" s="46"/>
      <x:c r="D394" s="4"/>
      <x:c r="E394" s="47" t="str">
        <x:f>IF(C394="☑ Yes",A394,"")</x:f>
      </x:c>
      <x:c r="F394" s="89" t="str">
        <x:f>IF(B394="","",COUNTIF($B$2:$B$500,"&lt;"&amp;B394)+COUNTIF($B$2:B394,B394))</x:f>
      </x:c>
      <x:c r="G394" s="89" t="str">
        <x:f>IFERROR(INDEX($B$2:$B$500,MATCH(ROWS($G$2:G394),$F$2:$F$500,0)),"")</x:f>
      </x:c>
      <x:c r="H394" s="90" t="str">
        <x:f>IFERROR(INDEX($A$2:$A$500,MATCH(G394,$B$2:$B$500,0)),"")</x:f>
      </x:c>
    </x:row>
    <x:row r="395" ht="22" customHeight="1">
      <x:c r="A395" s="45"/>
      <x:c r="B395" s="42"/>
      <x:c r="C395" s="46"/>
      <x:c r="D395" s="4"/>
      <x:c r="E395" s="47" t="str">
        <x:f>IF(C395="☑ Yes",A395,"")</x:f>
      </x:c>
      <x:c r="F395" s="89" t="str">
        <x:f>IF(B395="","",COUNTIF($B$2:$B$500,"&lt;"&amp;B395)+COUNTIF($B$2:B395,B395))</x:f>
      </x:c>
      <x:c r="G395" s="89" t="str">
        <x:f>IFERROR(INDEX($B$2:$B$500,MATCH(ROWS($G$2:G395),$F$2:$F$500,0)),"")</x:f>
      </x:c>
      <x:c r="H395" s="90" t="str">
        <x:f>IFERROR(INDEX($A$2:$A$500,MATCH(G395,$B$2:$B$500,0)),"")</x:f>
      </x:c>
    </x:row>
    <x:row r="396" ht="22" customHeight="1">
      <x:c r="A396" s="45"/>
      <x:c r="B396" s="42"/>
      <x:c r="C396" s="46"/>
      <x:c r="D396" s="4"/>
      <x:c r="E396" s="47" t="str">
        <x:f>IF(C396="☑ Yes",A396,"")</x:f>
      </x:c>
      <x:c r="F396" s="89" t="str">
        <x:f>IF(B396="","",COUNTIF($B$2:$B$500,"&lt;"&amp;B396)+COUNTIF($B$2:B396,B396))</x:f>
      </x:c>
      <x:c r="G396" s="89" t="str">
        <x:f>IFERROR(INDEX($B$2:$B$500,MATCH(ROWS($G$2:G396),$F$2:$F$500,0)),"")</x:f>
      </x:c>
      <x:c r="H396" s="90" t="str">
        <x:f>IFERROR(INDEX($A$2:$A$500,MATCH(G396,$B$2:$B$500,0)),"")</x:f>
      </x:c>
    </x:row>
    <x:row r="397" ht="22" customHeight="1">
      <x:c r="A397" s="45"/>
      <x:c r="B397" s="42"/>
      <x:c r="C397" s="46"/>
      <x:c r="D397" s="4"/>
      <x:c r="E397" s="47" t="str">
        <x:f>IF(C397="☑ Yes",A397,"")</x:f>
      </x:c>
      <x:c r="F397" s="89" t="str">
        <x:f>IF(B397="","",COUNTIF($B$2:$B$500,"&lt;"&amp;B397)+COUNTIF($B$2:B397,B397))</x:f>
      </x:c>
      <x:c r="G397" s="89" t="str">
        <x:f>IFERROR(INDEX($B$2:$B$500,MATCH(ROWS($G$2:G397),$F$2:$F$500,0)),"")</x:f>
      </x:c>
      <x:c r="H397" s="90" t="str">
        <x:f>IFERROR(INDEX($A$2:$A$500,MATCH(G397,$B$2:$B$500,0)),"")</x:f>
      </x:c>
    </x:row>
    <x:row r="398" ht="22" customHeight="1">
      <x:c r="A398" s="45"/>
      <x:c r="B398" s="42"/>
      <x:c r="C398" s="46"/>
      <x:c r="D398" s="4"/>
      <x:c r="E398" s="47" t="str">
        <x:f>IF(C398="☑ Yes",A398,"")</x:f>
      </x:c>
      <x:c r="F398" s="89" t="str">
        <x:f>IF(B398="","",COUNTIF($B$2:$B$500,"&lt;"&amp;B398)+COUNTIF($B$2:B398,B398))</x:f>
      </x:c>
      <x:c r="G398" s="89" t="str">
        <x:f>IFERROR(INDEX($B$2:$B$500,MATCH(ROWS($G$2:G398),$F$2:$F$500,0)),"")</x:f>
      </x:c>
      <x:c r="H398" s="90" t="str">
        <x:f>IFERROR(INDEX($A$2:$A$500,MATCH(G398,$B$2:$B$500,0)),"")</x:f>
      </x:c>
    </x:row>
    <x:row r="399" ht="22" customHeight="1">
      <x:c r="A399" s="45"/>
      <x:c r="B399" s="42"/>
      <x:c r="C399" s="46"/>
      <x:c r="D399" s="4"/>
      <x:c r="E399" s="47" t="str">
        <x:f>IF(C399="☑ Yes",A399,"")</x:f>
      </x:c>
      <x:c r="F399" s="89" t="str">
        <x:f>IF(B399="","",COUNTIF($B$2:$B$500,"&lt;"&amp;B399)+COUNTIF($B$2:B399,B399))</x:f>
      </x:c>
      <x:c r="G399" s="89" t="str">
        <x:f>IFERROR(INDEX($B$2:$B$500,MATCH(ROWS($G$2:G399),$F$2:$F$500,0)),"")</x:f>
      </x:c>
      <x:c r="H399" s="90" t="str">
        <x:f>IFERROR(INDEX($A$2:$A$500,MATCH(G399,$B$2:$B$500,0)),"")</x:f>
      </x:c>
    </x:row>
    <x:row r="400" ht="22" customHeight="1">
      <x:c r="A400" s="45"/>
      <x:c r="B400" s="42"/>
      <x:c r="C400" s="46"/>
      <x:c r="D400" s="4"/>
      <x:c r="E400" s="47" t="str">
        <x:f>IF(C400="☑ Yes",A400,"")</x:f>
      </x:c>
      <x:c r="F400" s="89" t="str">
        <x:f>IF(B400="","",COUNTIF($B$2:$B$500,"&lt;"&amp;B400)+COUNTIF($B$2:B400,B400))</x:f>
      </x:c>
      <x:c r="G400" s="89" t="str">
        <x:f>IFERROR(INDEX($B$2:$B$500,MATCH(ROWS($G$2:G400),$F$2:$F$500,0)),"")</x:f>
      </x:c>
      <x:c r="H400" s="90" t="str">
        <x:f>IFERROR(INDEX($A$2:$A$500,MATCH(G400,$B$2:$B$500,0)),"")</x:f>
      </x:c>
    </x:row>
    <x:row r="401" ht="22" customHeight="1">
      <x:c r="A401" s="45"/>
      <x:c r="B401" s="42"/>
      <x:c r="C401" s="46"/>
      <x:c r="D401" s="4"/>
      <x:c r="E401" s="47" t="str">
        <x:f>IF(C401="☑ Yes",A401,"")</x:f>
      </x:c>
      <x:c r="F401" s="89" t="str">
        <x:f>IF(B401="","",COUNTIF($B$2:$B$500,"&lt;"&amp;B401)+COUNTIF($B$2:B401,B401))</x:f>
      </x:c>
      <x:c r="G401" s="89" t="str">
        <x:f>IFERROR(INDEX($B$2:$B$500,MATCH(ROWS($G$2:G401),$F$2:$F$500,0)),"")</x:f>
      </x:c>
      <x:c r="H401" s="90" t="str">
        <x:f>IFERROR(INDEX($A$2:$A$500,MATCH(G401,$B$2:$B$500,0)),"")</x:f>
      </x:c>
    </x:row>
    <x:row r="402" ht="22" customHeight="1">
      <x:c r="A402" s="45"/>
      <x:c r="B402" s="42"/>
      <x:c r="C402" s="46"/>
      <x:c r="D402" s="4"/>
      <x:c r="E402" s="47" t="str">
        <x:f>IF(C402="☑ Yes",A402,"")</x:f>
      </x:c>
      <x:c r="F402" s="89" t="str">
        <x:f>IF(B402="","",COUNTIF($B$2:$B$500,"&lt;"&amp;B402)+COUNTIF($B$2:B402,B402))</x:f>
      </x:c>
      <x:c r="G402" s="89" t="str">
        <x:f>IFERROR(INDEX($B$2:$B$500,MATCH(ROWS($G$2:G402),$F$2:$F$500,0)),"")</x:f>
      </x:c>
      <x:c r="H402" s="90" t="str">
        <x:f>IFERROR(INDEX($A$2:$A$500,MATCH(G402,$B$2:$B$500,0)),"")</x:f>
      </x:c>
    </x:row>
    <x:row r="403" ht="22" customHeight="1">
      <x:c r="A403" s="45"/>
      <x:c r="B403" s="42"/>
      <x:c r="C403" s="46"/>
      <x:c r="D403" s="4"/>
      <x:c r="E403" s="47" t="str">
        <x:f>IF(C403="☑ Yes",A403,"")</x:f>
      </x:c>
      <x:c r="F403" s="89" t="str">
        <x:f>IF(B403="","",COUNTIF($B$2:$B$500,"&lt;"&amp;B403)+COUNTIF($B$2:B403,B403))</x:f>
      </x:c>
      <x:c r="G403" s="89" t="str">
        <x:f>IFERROR(INDEX($B$2:$B$500,MATCH(ROWS($G$2:G403),$F$2:$F$500,0)),"")</x:f>
      </x:c>
      <x:c r="H403" s="90" t="str">
        <x:f>IFERROR(INDEX($A$2:$A$500,MATCH(G403,$B$2:$B$500,0)),"")</x:f>
      </x:c>
    </x:row>
    <x:row r="404" ht="22" customHeight="1">
      <x:c r="A404" s="45"/>
      <x:c r="B404" s="42"/>
      <x:c r="C404" s="46"/>
      <x:c r="D404" s="4"/>
      <x:c r="E404" s="47" t="str">
        <x:f>IF(C404="☑ Yes",A404,"")</x:f>
      </x:c>
      <x:c r="F404" s="89" t="str">
        <x:f>IF(B404="","",COUNTIF($B$2:$B$500,"&lt;"&amp;B404)+COUNTIF($B$2:B404,B404))</x:f>
      </x:c>
      <x:c r="G404" s="89" t="str">
        <x:f>IFERROR(INDEX($B$2:$B$500,MATCH(ROWS($G$2:G404),$F$2:$F$500,0)),"")</x:f>
      </x:c>
      <x:c r="H404" s="90" t="str">
        <x:f>IFERROR(INDEX($A$2:$A$500,MATCH(G404,$B$2:$B$500,0)),"")</x:f>
      </x:c>
    </x:row>
    <x:row r="405" ht="22" customHeight="1">
      <x:c r="A405" s="45"/>
      <x:c r="B405" s="42"/>
      <x:c r="C405" s="46"/>
      <x:c r="D405" s="4"/>
      <x:c r="E405" s="47" t="str">
        <x:f>IF(C405="☑ Yes",A405,"")</x:f>
      </x:c>
      <x:c r="F405" s="89" t="str">
        <x:f>IF(B405="","",COUNTIF($B$2:$B$500,"&lt;"&amp;B405)+COUNTIF($B$2:B405,B405))</x:f>
      </x:c>
      <x:c r="G405" s="89" t="str">
        <x:f>IFERROR(INDEX($B$2:$B$500,MATCH(ROWS($G$2:G405),$F$2:$F$500,0)),"")</x:f>
      </x:c>
      <x:c r="H405" s="90" t="str">
        <x:f>IFERROR(INDEX($A$2:$A$500,MATCH(G405,$B$2:$B$500,0)),"")</x:f>
      </x:c>
    </x:row>
    <x:row r="406" ht="22" customHeight="1">
      <x:c r="A406" s="45"/>
      <x:c r="B406" s="42"/>
      <x:c r="C406" s="46"/>
      <x:c r="D406" s="4"/>
      <x:c r="E406" s="47" t="str">
        <x:f>IF(C406="☑ Yes",A406,"")</x:f>
      </x:c>
      <x:c r="F406" s="89" t="str">
        <x:f>IF(B406="","",COUNTIF($B$2:$B$500,"&lt;"&amp;B406)+COUNTIF($B$2:B406,B406))</x:f>
      </x:c>
      <x:c r="G406" s="89" t="str">
        <x:f>IFERROR(INDEX($B$2:$B$500,MATCH(ROWS($G$2:G406),$F$2:$F$500,0)),"")</x:f>
      </x:c>
      <x:c r="H406" s="90" t="str">
        <x:f>IFERROR(INDEX($A$2:$A$500,MATCH(G406,$B$2:$B$500,0)),"")</x:f>
      </x:c>
    </x:row>
    <x:row r="407" ht="22" customHeight="1">
      <x:c r="A407" s="45"/>
      <x:c r="B407" s="42"/>
      <x:c r="C407" s="46"/>
      <x:c r="D407" s="4"/>
      <x:c r="E407" s="47" t="str">
        <x:f>IF(C407="☑ Yes",A407,"")</x:f>
      </x:c>
      <x:c r="F407" s="89" t="str">
        <x:f>IF(B407="","",COUNTIF($B$2:$B$500,"&lt;"&amp;B407)+COUNTIF($B$2:B407,B407))</x:f>
      </x:c>
      <x:c r="G407" s="89" t="str">
        <x:f>IFERROR(INDEX($B$2:$B$500,MATCH(ROWS($G$2:G407),$F$2:$F$500,0)),"")</x:f>
      </x:c>
      <x:c r="H407" s="90" t="str">
        <x:f>IFERROR(INDEX($A$2:$A$500,MATCH(G407,$B$2:$B$500,0)),"")</x:f>
      </x:c>
    </x:row>
    <x:row r="408" ht="22" customHeight="1">
      <x:c r="A408" s="45"/>
      <x:c r="B408" s="42"/>
      <x:c r="C408" s="46"/>
      <x:c r="D408" s="4"/>
      <x:c r="E408" s="47" t="str">
        <x:f>IF(C408="☑ Yes",A408,"")</x:f>
      </x:c>
      <x:c r="F408" s="89" t="str">
        <x:f>IF(B408="","",COUNTIF($B$2:$B$500,"&lt;"&amp;B408)+COUNTIF($B$2:B408,B408))</x:f>
      </x:c>
      <x:c r="G408" s="89" t="str">
        <x:f>IFERROR(INDEX($B$2:$B$500,MATCH(ROWS($G$2:G408),$F$2:$F$500,0)),"")</x:f>
      </x:c>
      <x:c r="H408" s="90" t="str">
        <x:f>IFERROR(INDEX($A$2:$A$500,MATCH(G408,$B$2:$B$500,0)),"")</x:f>
      </x:c>
    </x:row>
    <x:row r="409" ht="22" customHeight="1">
      <x:c r="A409" s="45"/>
      <x:c r="B409" s="42"/>
      <x:c r="C409" s="46"/>
      <x:c r="D409" s="4"/>
      <x:c r="E409" s="47" t="str">
        <x:f>IF(C409="☑ Yes",A409,"")</x:f>
      </x:c>
      <x:c r="F409" s="89" t="str">
        <x:f>IF(B409="","",COUNTIF($B$2:$B$500,"&lt;"&amp;B409)+COUNTIF($B$2:B409,B409))</x:f>
      </x:c>
      <x:c r="G409" s="89" t="str">
        <x:f>IFERROR(INDEX($B$2:$B$500,MATCH(ROWS($G$2:G409),$F$2:$F$500,0)),"")</x:f>
      </x:c>
      <x:c r="H409" s="90" t="str">
        <x:f>IFERROR(INDEX($A$2:$A$500,MATCH(G409,$B$2:$B$500,0)),"")</x:f>
      </x:c>
    </x:row>
    <x:row r="410" ht="22" customHeight="1">
      <x:c r="A410" s="45"/>
      <x:c r="B410" s="42"/>
      <x:c r="C410" s="46"/>
      <x:c r="D410" s="4"/>
      <x:c r="E410" s="47" t="str">
        <x:f>IF(C410="☑ Yes",A410,"")</x:f>
      </x:c>
      <x:c r="F410" s="89" t="str">
        <x:f>IF(B410="","",COUNTIF($B$2:$B$500,"&lt;"&amp;B410)+COUNTIF($B$2:B410,B410))</x:f>
      </x:c>
      <x:c r="G410" s="89" t="str">
        <x:f>IFERROR(INDEX($B$2:$B$500,MATCH(ROWS($G$2:G410),$F$2:$F$500,0)),"")</x:f>
      </x:c>
      <x:c r="H410" s="90" t="str">
        <x:f>IFERROR(INDEX($A$2:$A$500,MATCH(G410,$B$2:$B$500,0)),"")</x:f>
      </x:c>
    </x:row>
    <x:row r="411" ht="22" customHeight="1">
      <x:c r="A411" s="45"/>
      <x:c r="B411" s="42"/>
      <x:c r="C411" s="46"/>
      <x:c r="D411" s="4"/>
      <x:c r="E411" s="47" t="str">
        <x:f>IF(C411="☑ Yes",A411,"")</x:f>
      </x:c>
      <x:c r="F411" s="89" t="str">
        <x:f>IF(B411="","",COUNTIF($B$2:$B$500,"&lt;"&amp;B411)+COUNTIF($B$2:B411,B411))</x:f>
      </x:c>
      <x:c r="G411" s="89" t="str">
        <x:f>IFERROR(INDEX($B$2:$B$500,MATCH(ROWS($G$2:G411),$F$2:$F$500,0)),"")</x:f>
      </x:c>
      <x:c r="H411" s="90" t="str">
        <x:f>IFERROR(INDEX($A$2:$A$500,MATCH(G411,$B$2:$B$500,0)),"")</x:f>
      </x:c>
    </x:row>
    <x:row r="412" ht="22" customHeight="1">
      <x:c r="A412" s="45"/>
      <x:c r="B412" s="42"/>
      <x:c r="C412" s="46"/>
      <x:c r="D412" s="4"/>
      <x:c r="E412" s="47" t="str">
        <x:f>IF(C412="☑ Yes",A412,"")</x:f>
      </x:c>
      <x:c r="F412" s="89" t="str">
        <x:f>IF(B412="","",COUNTIF($B$2:$B$500,"&lt;"&amp;B412)+COUNTIF($B$2:B412,B412))</x:f>
      </x:c>
      <x:c r="G412" s="89" t="str">
        <x:f>IFERROR(INDEX($B$2:$B$500,MATCH(ROWS($G$2:G412),$F$2:$F$500,0)),"")</x:f>
      </x:c>
      <x:c r="H412" s="90" t="str">
        <x:f>IFERROR(INDEX($A$2:$A$500,MATCH(G412,$B$2:$B$500,0)),"")</x:f>
      </x:c>
    </x:row>
    <x:row r="413" ht="22" customHeight="1">
      <x:c r="A413" s="45"/>
      <x:c r="B413" s="42"/>
      <x:c r="C413" s="46"/>
      <x:c r="D413" s="4"/>
      <x:c r="E413" s="47" t="str">
        <x:f>IF(C413="☑ Yes",A413,"")</x:f>
      </x:c>
      <x:c r="F413" s="89" t="str">
        <x:f>IF(B413="","",COUNTIF($B$2:$B$500,"&lt;"&amp;B413)+COUNTIF($B$2:B413,B413))</x:f>
      </x:c>
      <x:c r="G413" s="89" t="str">
        <x:f>IFERROR(INDEX($B$2:$B$500,MATCH(ROWS($G$2:G413),$F$2:$F$500,0)),"")</x:f>
      </x:c>
      <x:c r="H413" s="90" t="str">
        <x:f>IFERROR(INDEX($A$2:$A$500,MATCH(G413,$B$2:$B$500,0)),"")</x:f>
      </x:c>
    </x:row>
    <x:row r="414" ht="22" customHeight="1">
      <x:c r="A414" s="45"/>
      <x:c r="B414" s="42"/>
      <x:c r="C414" s="46"/>
      <x:c r="D414" s="4"/>
      <x:c r="E414" s="47" t="str">
        <x:f>IF(C414="☑ Yes",A414,"")</x:f>
      </x:c>
      <x:c r="F414" s="89" t="str">
        <x:f>IF(B414="","",COUNTIF($B$2:$B$500,"&lt;"&amp;B414)+COUNTIF($B$2:B414,B414))</x:f>
      </x:c>
      <x:c r="G414" s="89" t="str">
        <x:f>IFERROR(INDEX($B$2:$B$500,MATCH(ROWS($G$2:G414),$F$2:$F$500,0)),"")</x:f>
      </x:c>
      <x:c r="H414" s="90" t="str">
        <x:f>IFERROR(INDEX($A$2:$A$500,MATCH(G414,$B$2:$B$500,0)),"")</x:f>
      </x:c>
    </x:row>
    <x:row r="415" ht="22" customHeight="1">
      <x:c r="A415" s="45"/>
      <x:c r="B415" s="42"/>
      <x:c r="C415" s="46"/>
      <x:c r="D415" s="4"/>
      <x:c r="E415" s="47" t="str">
        <x:f>IF(C415="☑ Yes",A415,"")</x:f>
      </x:c>
      <x:c r="F415" s="89" t="str">
        <x:f>IF(B415="","",COUNTIF($B$2:$B$500,"&lt;"&amp;B415)+COUNTIF($B$2:B415,B415))</x:f>
      </x:c>
      <x:c r="G415" s="89" t="str">
        <x:f>IFERROR(INDEX($B$2:$B$500,MATCH(ROWS($G$2:G415),$F$2:$F$500,0)),"")</x:f>
      </x:c>
      <x:c r="H415" s="90" t="str">
        <x:f>IFERROR(INDEX($A$2:$A$500,MATCH(G415,$B$2:$B$500,0)),"")</x:f>
      </x:c>
    </x:row>
    <x:row r="416" ht="22" customHeight="1">
      <x:c r="A416" s="45"/>
      <x:c r="B416" s="42"/>
      <x:c r="C416" s="46"/>
      <x:c r="D416" s="4"/>
      <x:c r="E416" s="47" t="str">
        <x:f>IF(C416="☑ Yes",A416,"")</x:f>
      </x:c>
      <x:c r="F416" s="89" t="str">
        <x:f>IF(B416="","",COUNTIF($B$2:$B$500,"&lt;"&amp;B416)+COUNTIF($B$2:B416,B416))</x:f>
      </x:c>
      <x:c r="G416" s="89" t="str">
        <x:f>IFERROR(INDEX($B$2:$B$500,MATCH(ROWS($G$2:G416),$F$2:$F$500,0)),"")</x:f>
      </x:c>
      <x:c r="H416" s="90" t="str">
        <x:f>IFERROR(INDEX($A$2:$A$500,MATCH(G416,$B$2:$B$500,0)),"")</x:f>
      </x:c>
    </x:row>
    <x:row r="417" ht="22" customHeight="1">
      <x:c r="A417" s="45"/>
      <x:c r="B417" s="42"/>
      <x:c r="C417" s="46"/>
      <x:c r="D417" s="4"/>
      <x:c r="E417" s="47" t="str">
        <x:f>IF(C417="☑ Yes",A417,"")</x:f>
      </x:c>
      <x:c r="F417" s="89" t="str">
        <x:f>IF(B417="","",COUNTIF($B$2:$B$500,"&lt;"&amp;B417)+COUNTIF($B$2:B417,B417))</x:f>
      </x:c>
      <x:c r="G417" s="89" t="str">
        <x:f>IFERROR(INDEX($B$2:$B$500,MATCH(ROWS($G$2:G417),$F$2:$F$500,0)),"")</x:f>
      </x:c>
      <x:c r="H417" s="90" t="str">
        <x:f>IFERROR(INDEX($A$2:$A$500,MATCH(G417,$B$2:$B$500,0)),"")</x:f>
      </x:c>
    </x:row>
    <x:row r="418" ht="22" customHeight="1">
      <x:c r="A418" s="45"/>
      <x:c r="B418" s="42"/>
      <x:c r="C418" s="46"/>
      <x:c r="D418" s="4"/>
      <x:c r="E418" s="47" t="str">
        <x:f>IF(C418="☑ Yes",A418,"")</x:f>
      </x:c>
      <x:c r="F418" s="89" t="str">
        <x:f>IF(B418="","",COUNTIF($B$2:$B$500,"&lt;"&amp;B418)+COUNTIF($B$2:B418,B418))</x:f>
      </x:c>
      <x:c r="G418" s="89" t="str">
        <x:f>IFERROR(INDEX($B$2:$B$500,MATCH(ROWS($G$2:G418),$F$2:$F$500,0)),"")</x:f>
      </x:c>
      <x:c r="H418" s="90" t="str">
        <x:f>IFERROR(INDEX($A$2:$A$500,MATCH(G418,$B$2:$B$500,0)),"")</x:f>
      </x:c>
    </x:row>
    <x:row r="419" ht="22" customHeight="1">
      <x:c r="A419" s="45"/>
      <x:c r="B419" s="42"/>
      <x:c r="C419" s="46"/>
      <x:c r="D419" s="4"/>
      <x:c r="E419" s="47" t="str">
        <x:f>IF(C419="☑ Yes",A419,"")</x:f>
      </x:c>
      <x:c r="F419" s="89" t="str">
        <x:f>IF(B419="","",COUNTIF($B$2:$B$500,"&lt;"&amp;B419)+COUNTIF($B$2:B419,B419))</x:f>
      </x:c>
      <x:c r="G419" s="89" t="str">
        <x:f>IFERROR(INDEX($B$2:$B$500,MATCH(ROWS($G$2:G419),$F$2:$F$500,0)),"")</x:f>
      </x:c>
      <x:c r="H419" s="90" t="str">
        <x:f>IFERROR(INDEX($A$2:$A$500,MATCH(G419,$B$2:$B$500,0)),"")</x:f>
      </x:c>
    </x:row>
    <x:row r="420" ht="22" customHeight="1">
      <x:c r="A420" s="45"/>
      <x:c r="B420" s="42"/>
      <x:c r="C420" s="46"/>
      <x:c r="D420" s="4"/>
      <x:c r="E420" s="47" t="str">
        <x:f>IF(C420="☑ Yes",A420,"")</x:f>
      </x:c>
      <x:c r="F420" s="89" t="str">
        <x:f>IF(B420="","",COUNTIF($B$2:$B$500,"&lt;"&amp;B420)+COUNTIF($B$2:B420,B420))</x:f>
      </x:c>
      <x:c r="G420" s="89" t="str">
        <x:f>IFERROR(INDEX($B$2:$B$500,MATCH(ROWS($G$2:G420),$F$2:$F$500,0)),"")</x:f>
      </x:c>
      <x:c r="H420" s="90" t="str">
        <x:f>IFERROR(INDEX($A$2:$A$500,MATCH(G420,$B$2:$B$500,0)),"")</x:f>
      </x:c>
    </x:row>
    <x:row r="421" ht="22" customHeight="1">
      <x:c r="A421" s="45"/>
      <x:c r="B421" s="42"/>
      <x:c r="C421" s="46"/>
      <x:c r="D421" s="4"/>
      <x:c r="E421" s="47" t="str">
        <x:f>IF(C421="☑ Yes",A421,"")</x:f>
      </x:c>
      <x:c r="F421" s="89" t="str">
        <x:f>IF(B421="","",COUNTIF($B$2:$B$500,"&lt;"&amp;B421)+COUNTIF($B$2:B421,B421))</x:f>
      </x:c>
      <x:c r="G421" s="89" t="str">
        <x:f>IFERROR(INDEX($B$2:$B$500,MATCH(ROWS($G$2:G421),$F$2:$F$500,0)),"")</x:f>
      </x:c>
      <x:c r="H421" s="90" t="str">
        <x:f>IFERROR(INDEX($A$2:$A$500,MATCH(G421,$B$2:$B$500,0)),"")</x:f>
      </x:c>
    </x:row>
    <x:row r="422" ht="22" customHeight="1">
      <x:c r="A422" s="45"/>
      <x:c r="B422" s="42"/>
      <x:c r="C422" s="46"/>
      <x:c r="D422" s="4"/>
      <x:c r="E422" s="47" t="str">
        <x:f>IF(C422="☑ Yes",A422,"")</x:f>
      </x:c>
      <x:c r="F422" s="89" t="str">
        <x:f>IF(B422="","",COUNTIF($B$2:$B$500,"&lt;"&amp;B422)+COUNTIF($B$2:B422,B422))</x:f>
      </x:c>
      <x:c r="G422" s="89" t="str">
        <x:f>IFERROR(INDEX($B$2:$B$500,MATCH(ROWS($G$2:G422),$F$2:$F$500,0)),"")</x:f>
      </x:c>
      <x:c r="H422" s="90" t="str">
        <x:f>IFERROR(INDEX($A$2:$A$500,MATCH(G422,$B$2:$B$500,0)),"")</x:f>
      </x:c>
    </x:row>
    <x:row r="423" ht="22" customHeight="1">
      <x:c r="A423" s="45"/>
      <x:c r="B423" s="42"/>
      <x:c r="C423" s="46"/>
      <x:c r="D423" s="4"/>
      <x:c r="E423" s="47" t="str">
        <x:f>IF(C423="☑ Yes",A423,"")</x:f>
      </x:c>
      <x:c r="F423" s="89" t="str">
        <x:f>IF(B423="","",COUNTIF($B$2:$B$500,"&lt;"&amp;B423)+COUNTIF($B$2:B423,B423))</x:f>
      </x:c>
      <x:c r="G423" s="89" t="str">
        <x:f>IFERROR(INDEX($B$2:$B$500,MATCH(ROWS($G$2:G423),$F$2:$F$500,0)),"")</x:f>
      </x:c>
      <x:c r="H423" s="90" t="str">
        <x:f>IFERROR(INDEX($A$2:$A$500,MATCH(G423,$B$2:$B$500,0)),"")</x:f>
      </x:c>
    </x:row>
    <x:row r="424" ht="22" customHeight="1">
      <x:c r="A424" s="45"/>
      <x:c r="B424" s="42"/>
      <x:c r="C424" s="46"/>
      <x:c r="D424" s="4"/>
      <x:c r="E424" s="47" t="str">
        <x:f>IF(C424="☑ Yes",A424,"")</x:f>
      </x:c>
      <x:c r="F424" s="89" t="str">
        <x:f>IF(B424="","",COUNTIF($B$2:$B$500,"&lt;"&amp;B424)+COUNTIF($B$2:B424,B424))</x:f>
      </x:c>
      <x:c r="G424" s="89" t="str">
        <x:f>IFERROR(INDEX($B$2:$B$500,MATCH(ROWS($G$2:G424),$F$2:$F$500,0)),"")</x:f>
      </x:c>
      <x:c r="H424" s="90" t="str">
        <x:f>IFERROR(INDEX($A$2:$A$500,MATCH(G424,$B$2:$B$500,0)),"")</x:f>
      </x:c>
    </x:row>
    <x:row r="425" ht="22" customHeight="1">
      <x:c r="A425" s="45"/>
      <x:c r="B425" s="42"/>
      <x:c r="C425" s="46"/>
      <x:c r="D425" s="4"/>
      <x:c r="E425" s="47" t="str">
        <x:f>IF(C425="☑ Yes",A425,"")</x:f>
      </x:c>
      <x:c r="F425" s="89" t="str">
        <x:f>IF(B425="","",COUNTIF($B$2:$B$500,"&lt;"&amp;B425)+COUNTIF($B$2:B425,B425))</x:f>
      </x:c>
      <x:c r="G425" s="89" t="str">
        <x:f>IFERROR(INDEX($B$2:$B$500,MATCH(ROWS($G$2:G425),$F$2:$F$500,0)),"")</x:f>
      </x:c>
      <x:c r="H425" s="90" t="str">
        <x:f>IFERROR(INDEX($A$2:$A$500,MATCH(G425,$B$2:$B$500,0)),"")</x:f>
      </x:c>
    </x:row>
    <x:row r="426" ht="22" customHeight="1">
      <x:c r="A426" s="45"/>
      <x:c r="B426" s="42"/>
      <x:c r="C426" s="46"/>
      <x:c r="D426" s="4"/>
      <x:c r="E426" s="47" t="str">
        <x:f>IF(C426="☑ Yes",A426,"")</x:f>
      </x:c>
      <x:c r="F426" s="89" t="str">
        <x:f>IF(B426="","",COUNTIF($B$2:$B$500,"&lt;"&amp;B426)+COUNTIF($B$2:B426,B426))</x:f>
      </x:c>
      <x:c r="G426" s="89" t="str">
        <x:f>IFERROR(INDEX($B$2:$B$500,MATCH(ROWS($G$2:G426),$F$2:$F$500,0)),"")</x:f>
      </x:c>
      <x:c r="H426" s="90" t="str">
        <x:f>IFERROR(INDEX($A$2:$A$500,MATCH(G426,$B$2:$B$500,0)),"")</x:f>
      </x:c>
    </x:row>
    <x:row r="427" ht="22" customHeight="1">
      <x:c r="A427" s="45"/>
      <x:c r="B427" s="42"/>
      <x:c r="C427" s="46"/>
      <x:c r="D427" s="4"/>
      <x:c r="E427" s="47" t="str">
        <x:f>IF(C427="☑ Yes",A427,"")</x:f>
      </x:c>
      <x:c r="F427" s="89" t="str">
        <x:f>IF(B427="","",COUNTIF($B$2:$B$500,"&lt;"&amp;B427)+COUNTIF($B$2:B427,B427))</x:f>
      </x:c>
      <x:c r="G427" s="89" t="str">
        <x:f>IFERROR(INDEX($B$2:$B$500,MATCH(ROWS($G$2:G427),$F$2:$F$500,0)),"")</x:f>
      </x:c>
      <x:c r="H427" s="90" t="str">
        <x:f>IFERROR(INDEX($A$2:$A$500,MATCH(G427,$B$2:$B$500,0)),"")</x:f>
      </x:c>
    </x:row>
    <x:row r="428" ht="22" customHeight="1">
      <x:c r="A428" s="45"/>
      <x:c r="B428" s="42"/>
      <x:c r="C428" s="46"/>
      <x:c r="D428" s="4"/>
      <x:c r="E428" s="47" t="str">
        <x:f>IF(C428="☑ Yes",A428,"")</x:f>
      </x:c>
      <x:c r="F428" s="89" t="str">
        <x:f>IF(B428="","",COUNTIF($B$2:$B$500,"&lt;"&amp;B428)+COUNTIF($B$2:B428,B428))</x:f>
      </x:c>
      <x:c r="G428" s="89" t="str">
        <x:f>IFERROR(INDEX($B$2:$B$500,MATCH(ROWS($G$2:G428),$F$2:$F$500,0)),"")</x:f>
      </x:c>
      <x:c r="H428" s="90" t="str">
        <x:f>IFERROR(INDEX($A$2:$A$500,MATCH(G428,$B$2:$B$500,0)),"")</x:f>
      </x:c>
    </x:row>
    <x:row r="429" ht="22" customHeight="1">
      <x:c r="A429" s="45"/>
      <x:c r="B429" s="42"/>
      <x:c r="C429" s="46"/>
      <x:c r="D429" s="4"/>
      <x:c r="E429" s="47" t="str">
        <x:f>IF(C429="☑ Yes",A429,"")</x:f>
      </x:c>
      <x:c r="F429" s="89" t="str">
        <x:f>IF(B429="","",COUNTIF($B$2:$B$500,"&lt;"&amp;B429)+COUNTIF($B$2:B429,B429))</x:f>
      </x:c>
      <x:c r="G429" s="89" t="str">
        <x:f>IFERROR(INDEX($B$2:$B$500,MATCH(ROWS($G$2:G429),$F$2:$F$500,0)),"")</x:f>
      </x:c>
      <x:c r="H429" s="90" t="str">
        <x:f>IFERROR(INDEX($A$2:$A$500,MATCH(G429,$B$2:$B$500,0)),"")</x:f>
      </x:c>
    </x:row>
    <x:row r="430" ht="22" customHeight="1">
      <x:c r="A430" s="45"/>
      <x:c r="B430" s="42"/>
      <x:c r="C430" s="46"/>
      <x:c r="D430" s="4"/>
      <x:c r="E430" s="47" t="str">
        <x:f>IF(C430="☑ Yes",A430,"")</x:f>
      </x:c>
      <x:c r="F430" s="89" t="str">
        <x:f>IF(B430="","",COUNTIF($B$2:$B$500,"&lt;"&amp;B430)+COUNTIF($B$2:B430,B430))</x:f>
      </x:c>
      <x:c r="G430" s="89" t="str">
        <x:f>IFERROR(INDEX($B$2:$B$500,MATCH(ROWS($G$2:G430),$F$2:$F$500,0)),"")</x:f>
      </x:c>
      <x:c r="H430" s="90" t="str">
        <x:f>IFERROR(INDEX($A$2:$A$500,MATCH(G430,$B$2:$B$500,0)),"")</x:f>
      </x:c>
    </x:row>
    <x:row r="431" ht="22" customHeight="1">
      <x:c r="A431" s="45"/>
      <x:c r="B431" s="42"/>
      <x:c r="C431" s="46"/>
      <x:c r="D431" s="4"/>
      <x:c r="E431" s="47" t="str">
        <x:f>IF(C431="☑ Yes",A431,"")</x:f>
      </x:c>
      <x:c r="F431" s="89" t="str">
        <x:f>IF(B431="","",COUNTIF($B$2:$B$500,"&lt;"&amp;B431)+COUNTIF($B$2:B431,B431))</x:f>
      </x:c>
      <x:c r="G431" s="89" t="str">
        <x:f>IFERROR(INDEX($B$2:$B$500,MATCH(ROWS($G$2:G431),$F$2:$F$500,0)),"")</x:f>
      </x:c>
      <x:c r="H431" s="90" t="str">
        <x:f>IFERROR(INDEX($A$2:$A$500,MATCH(G431,$B$2:$B$500,0)),"")</x:f>
      </x:c>
    </x:row>
    <x:row r="432" ht="22" customHeight="1">
      <x:c r="A432" s="45"/>
      <x:c r="B432" s="42"/>
      <x:c r="C432" s="46"/>
      <x:c r="D432" s="4"/>
      <x:c r="E432" s="47" t="str">
        <x:f>IF(C432="☑ Yes",A432,"")</x:f>
      </x:c>
      <x:c r="F432" s="89" t="str">
        <x:f>IF(B432="","",COUNTIF($B$2:$B$500,"&lt;"&amp;B432)+COUNTIF($B$2:B432,B432))</x:f>
      </x:c>
      <x:c r="G432" s="89" t="str">
        <x:f>IFERROR(INDEX($B$2:$B$500,MATCH(ROWS($G$2:G432),$F$2:$F$500,0)),"")</x:f>
      </x:c>
      <x:c r="H432" s="90" t="str">
        <x:f>IFERROR(INDEX($A$2:$A$500,MATCH(G432,$B$2:$B$500,0)),"")</x:f>
      </x:c>
    </x:row>
    <x:row r="433" ht="22" customHeight="1">
      <x:c r="A433" s="45"/>
      <x:c r="B433" s="42"/>
      <x:c r="C433" s="46"/>
      <x:c r="D433" s="4"/>
      <x:c r="E433" s="47" t="str">
        <x:f>IF(C433="☑ Yes",A433,"")</x:f>
      </x:c>
      <x:c r="F433" s="89" t="str">
        <x:f>IF(B433="","",COUNTIF($B$2:$B$500,"&lt;"&amp;B433)+COUNTIF($B$2:B433,B433))</x:f>
      </x:c>
      <x:c r="G433" s="89" t="str">
        <x:f>IFERROR(INDEX($B$2:$B$500,MATCH(ROWS($G$2:G433),$F$2:$F$500,0)),"")</x:f>
      </x:c>
      <x:c r="H433" s="90" t="str">
        <x:f>IFERROR(INDEX($A$2:$A$500,MATCH(G433,$B$2:$B$500,0)),"")</x:f>
      </x:c>
    </x:row>
    <x:row r="434" ht="22" customHeight="1">
      <x:c r="A434" s="45"/>
      <x:c r="B434" s="42"/>
      <x:c r="C434" s="46"/>
      <x:c r="D434" s="4"/>
      <x:c r="E434" s="47" t="str">
        <x:f>IF(C434="☑ Yes",A434,"")</x:f>
      </x:c>
      <x:c r="F434" s="89" t="str">
        <x:f>IF(B434="","",COUNTIF($B$2:$B$500,"&lt;"&amp;B434)+COUNTIF($B$2:B434,B434))</x:f>
      </x:c>
      <x:c r="G434" s="89" t="str">
        <x:f>IFERROR(INDEX($B$2:$B$500,MATCH(ROWS($G$2:G434),$F$2:$F$500,0)),"")</x:f>
      </x:c>
      <x:c r="H434" s="90" t="str">
        <x:f>IFERROR(INDEX($A$2:$A$500,MATCH(G434,$B$2:$B$500,0)),"")</x:f>
      </x:c>
    </x:row>
    <x:row r="435" ht="22" customHeight="1">
      <x:c r="A435" s="45"/>
      <x:c r="B435" s="42"/>
      <x:c r="C435" s="46"/>
      <x:c r="D435" s="4"/>
      <x:c r="E435" s="47" t="str">
        <x:f>IF(C435="☑ Yes",A435,"")</x:f>
      </x:c>
      <x:c r="F435" s="89" t="str">
        <x:f>IF(B435="","",COUNTIF($B$2:$B$500,"&lt;"&amp;B435)+COUNTIF($B$2:B435,B435))</x:f>
      </x:c>
      <x:c r="G435" s="89" t="str">
        <x:f>IFERROR(INDEX($B$2:$B$500,MATCH(ROWS($G$2:G435),$F$2:$F$500,0)),"")</x:f>
      </x:c>
      <x:c r="H435" s="90" t="str">
        <x:f>IFERROR(INDEX($A$2:$A$500,MATCH(G435,$B$2:$B$500,0)),"")</x:f>
      </x:c>
    </x:row>
    <x:row r="436" ht="22" customHeight="1">
      <x:c r="A436" s="45"/>
      <x:c r="B436" s="42"/>
      <x:c r="C436" s="46"/>
      <x:c r="D436" s="4"/>
      <x:c r="E436" s="47" t="str">
        <x:f>IF(C436="☑ Yes",A436,"")</x:f>
      </x:c>
      <x:c r="F436" s="89" t="str">
        <x:f>IF(B436="","",COUNTIF($B$2:$B$500,"&lt;"&amp;B436)+COUNTIF($B$2:B436,B436))</x:f>
      </x:c>
      <x:c r="G436" s="89" t="str">
        <x:f>IFERROR(INDEX($B$2:$B$500,MATCH(ROWS($G$2:G436),$F$2:$F$500,0)),"")</x:f>
      </x:c>
      <x:c r="H436" s="90" t="str">
        <x:f>IFERROR(INDEX($A$2:$A$500,MATCH(G436,$B$2:$B$500,0)),"")</x:f>
      </x:c>
    </x:row>
    <x:row r="437" ht="22" customHeight="1">
      <x:c r="A437" s="45"/>
      <x:c r="B437" s="42"/>
      <x:c r="C437" s="46"/>
      <x:c r="D437" s="4"/>
      <x:c r="E437" s="47" t="str">
        <x:f>IF(C437="☑ Yes",A437,"")</x:f>
      </x:c>
      <x:c r="F437" s="89" t="str">
        <x:f>IF(B437="","",COUNTIF($B$2:$B$500,"&lt;"&amp;B437)+COUNTIF($B$2:B437,B437))</x:f>
      </x:c>
      <x:c r="G437" s="89" t="str">
        <x:f>IFERROR(INDEX($B$2:$B$500,MATCH(ROWS($G$2:G437),$F$2:$F$500,0)),"")</x:f>
      </x:c>
      <x:c r="H437" s="90" t="str">
        <x:f>IFERROR(INDEX($A$2:$A$500,MATCH(G437,$B$2:$B$500,0)),"")</x:f>
      </x:c>
    </x:row>
    <x:row r="438" ht="22" customHeight="1">
      <x:c r="A438" s="45"/>
      <x:c r="B438" s="42"/>
      <x:c r="C438" s="46"/>
      <x:c r="D438" s="4"/>
      <x:c r="E438" s="47" t="str">
        <x:f>IF(C438="☑ Yes",A438,"")</x:f>
      </x:c>
      <x:c r="F438" s="89" t="str">
        <x:f>IF(B438="","",COUNTIF($B$2:$B$500,"&lt;"&amp;B438)+COUNTIF($B$2:B438,B438))</x:f>
      </x:c>
      <x:c r="G438" s="89" t="str">
        <x:f>IFERROR(INDEX($B$2:$B$500,MATCH(ROWS($G$2:G438),$F$2:$F$500,0)),"")</x:f>
      </x:c>
      <x:c r="H438" s="90" t="str">
        <x:f>IFERROR(INDEX($A$2:$A$500,MATCH(G438,$B$2:$B$500,0)),"")</x:f>
      </x:c>
    </x:row>
    <x:row r="439" ht="22" customHeight="1">
      <x:c r="A439" s="45"/>
      <x:c r="B439" s="42"/>
      <x:c r="C439" s="46"/>
      <x:c r="D439" s="4"/>
      <x:c r="E439" s="47" t="str">
        <x:f>IF(C439="☑ Yes",A439,"")</x:f>
      </x:c>
      <x:c r="F439" s="89" t="str">
        <x:f>IF(B439="","",COUNTIF($B$2:$B$500,"&lt;"&amp;B439)+COUNTIF($B$2:B439,B439))</x:f>
      </x:c>
      <x:c r="G439" s="89" t="str">
        <x:f>IFERROR(INDEX($B$2:$B$500,MATCH(ROWS($G$2:G439),$F$2:$F$500,0)),"")</x:f>
      </x:c>
      <x:c r="H439" s="90" t="str">
        <x:f>IFERROR(INDEX($A$2:$A$500,MATCH(G439,$B$2:$B$500,0)),"")</x:f>
      </x:c>
    </x:row>
    <x:row r="440" ht="22" customHeight="1">
      <x:c r="A440" s="45"/>
      <x:c r="B440" s="42"/>
      <x:c r="C440" s="46"/>
      <x:c r="D440" s="4"/>
      <x:c r="E440" s="47" t="str">
        <x:f>IF(C440="☑ Yes",A440,"")</x:f>
      </x:c>
      <x:c r="F440" s="89" t="str">
        <x:f>IF(B440="","",COUNTIF($B$2:$B$500,"&lt;"&amp;B440)+COUNTIF($B$2:B440,B440))</x:f>
      </x:c>
      <x:c r="G440" s="89" t="str">
        <x:f>IFERROR(INDEX($B$2:$B$500,MATCH(ROWS($G$2:G440),$F$2:$F$500,0)),"")</x:f>
      </x:c>
      <x:c r="H440" s="90" t="str">
        <x:f>IFERROR(INDEX($A$2:$A$500,MATCH(G440,$B$2:$B$500,0)),"")</x:f>
      </x:c>
    </x:row>
    <x:row r="441" ht="22" customHeight="1">
      <x:c r="A441" s="45"/>
      <x:c r="B441" s="42"/>
      <x:c r="C441" s="46"/>
      <x:c r="D441" s="4"/>
      <x:c r="E441" s="47" t="str">
        <x:f>IF(C441="☑ Yes",A441,"")</x:f>
      </x:c>
      <x:c r="F441" s="89" t="str">
        <x:f>IF(B441="","",COUNTIF($B$2:$B$500,"&lt;"&amp;B441)+COUNTIF($B$2:B441,B441))</x:f>
      </x:c>
      <x:c r="G441" s="89" t="str">
        <x:f>IFERROR(INDEX($B$2:$B$500,MATCH(ROWS($G$2:G441),$F$2:$F$500,0)),"")</x:f>
      </x:c>
      <x:c r="H441" s="90" t="str">
        <x:f>IFERROR(INDEX($A$2:$A$500,MATCH(G441,$B$2:$B$500,0)),"")</x:f>
      </x:c>
    </x:row>
    <x:row r="442" ht="22" customHeight="1">
      <x:c r="A442" s="45"/>
      <x:c r="B442" s="42"/>
      <x:c r="C442" s="46"/>
      <x:c r="D442" s="4"/>
      <x:c r="E442" s="47" t="str">
        <x:f>IF(C442="☑ Yes",A442,"")</x:f>
      </x:c>
      <x:c r="F442" s="89" t="str">
        <x:f>IF(B442="","",COUNTIF($B$2:$B$500,"&lt;"&amp;B442)+COUNTIF($B$2:B442,B442))</x:f>
      </x:c>
      <x:c r="G442" s="89" t="str">
        <x:f>IFERROR(INDEX($B$2:$B$500,MATCH(ROWS($G$2:G442),$F$2:$F$500,0)),"")</x:f>
      </x:c>
      <x:c r="H442" s="90" t="str">
        <x:f>IFERROR(INDEX($A$2:$A$500,MATCH(G442,$B$2:$B$500,0)),"")</x:f>
      </x:c>
    </x:row>
    <x:row r="443" ht="22" customHeight="1">
      <x:c r="A443" s="45"/>
      <x:c r="B443" s="42"/>
      <x:c r="C443" s="46"/>
      <x:c r="D443" s="4"/>
      <x:c r="E443" s="47" t="str">
        <x:f>IF(C443="☑ Yes",A443,"")</x:f>
      </x:c>
      <x:c r="F443" s="89" t="str">
        <x:f>IF(B443="","",COUNTIF($B$2:$B$500,"&lt;"&amp;B443)+COUNTIF($B$2:B443,B443))</x:f>
      </x:c>
      <x:c r="G443" s="89" t="str">
        <x:f>IFERROR(INDEX($B$2:$B$500,MATCH(ROWS($G$2:G443),$F$2:$F$500,0)),"")</x:f>
      </x:c>
      <x:c r="H443" s="90" t="str">
        <x:f>IFERROR(INDEX($A$2:$A$500,MATCH(G443,$B$2:$B$500,0)),"")</x:f>
      </x:c>
    </x:row>
    <x:row r="444" ht="22" customHeight="1">
      <x:c r="A444" s="45"/>
      <x:c r="B444" s="42"/>
      <x:c r="C444" s="46"/>
      <x:c r="D444" s="4"/>
      <x:c r="E444" s="47" t="str">
        <x:f>IF(C444="☑ Yes",A444,"")</x:f>
      </x:c>
      <x:c r="F444" s="89" t="str">
        <x:f>IF(B444="","",COUNTIF($B$2:$B$500,"&lt;"&amp;B444)+COUNTIF($B$2:B444,B444))</x:f>
      </x:c>
      <x:c r="G444" s="89" t="str">
        <x:f>IFERROR(INDEX($B$2:$B$500,MATCH(ROWS($G$2:G444),$F$2:$F$500,0)),"")</x:f>
      </x:c>
      <x:c r="H444" s="90" t="str">
        <x:f>IFERROR(INDEX($A$2:$A$500,MATCH(G444,$B$2:$B$500,0)),"")</x:f>
      </x:c>
    </x:row>
    <x:row r="445" ht="22" customHeight="1">
      <x:c r="A445" s="45"/>
      <x:c r="B445" s="42"/>
      <x:c r="C445" s="46"/>
      <x:c r="D445" s="4"/>
      <x:c r="E445" s="47" t="str">
        <x:f>IF(C445="☑ Yes",A445,"")</x:f>
      </x:c>
      <x:c r="F445" s="89" t="str">
        <x:f>IF(B445="","",COUNTIF($B$2:$B$500,"&lt;"&amp;B445)+COUNTIF($B$2:B445,B445))</x:f>
      </x:c>
      <x:c r="G445" s="89" t="str">
        <x:f>IFERROR(INDEX($B$2:$B$500,MATCH(ROWS($G$2:G445),$F$2:$F$500,0)),"")</x:f>
      </x:c>
      <x:c r="H445" s="90" t="str">
        <x:f>IFERROR(INDEX($A$2:$A$500,MATCH(G445,$B$2:$B$500,0)),"")</x:f>
      </x:c>
    </x:row>
    <x:row r="446" ht="22" customHeight="1">
      <x:c r="A446" s="45"/>
      <x:c r="B446" s="42"/>
      <x:c r="C446" s="46"/>
      <x:c r="D446" s="4"/>
      <x:c r="E446" s="47" t="str">
        <x:f>IF(C446="☑ Yes",A446,"")</x:f>
      </x:c>
      <x:c r="F446" s="89" t="str">
        <x:f>IF(B446="","",COUNTIF($B$2:$B$500,"&lt;"&amp;B446)+COUNTIF($B$2:B446,B446))</x:f>
      </x:c>
      <x:c r="G446" s="89" t="str">
        <x:f>IFERROR(INDEX($B$2:$B$500,MATCH(ROWS($G$2:G446),$F$2:$F$500,0)),"")</x:f>
      </x:c>
      <x:c r="H446" s="90" t="str">
        <x:f>IFERROR(INDEX($A$2:$A$500,MATCH(G446,$B$2:$B$500,0)),"")</x:f>
      </x:c>
    </x:row>
    <x:row r="447" ht="22" customHeight="1">
      <x:c r="A447" s="45"/>
      <x:c r="B447" s="42"/>
      <x:c r="C447" s="46"/>
      <x:c r="D447" s="4"/>
      <x:c r="E447" s="47" t="str">
        <x:f>IF(C447="☑ Yes",A447,"")</x:f>
      </x:c>
      <x:c r="F447" s="89" t="str">
        <x:f>IF(B447="","",COUNTIF($B$2:$B$500,"&lt;"&amp;B447)+COUNTIF($B$2:B447,B447))</x:f>
      </x:c>
      <x:c r="G447" s="89" t="str">
        <x:f>IFERROR(INDEX($B$2:$B$500,MATCH(ROWS($G$2:G447),$F$2:$F$500,0)),"")</x:f>
      </x:c>
      <x:c r="H447" s="90" t="str">
        <x:f>IFERROR(INDEX($A$2:$A$500,MATCH(G447,$B$2:$B$500,0)),"")</x:f>
      </x:c>
    </x:row>
    <x:row r="448" ht="22" customHeight="1">
      <x:c r="A448" s="45"/>
      <x:c r="B448" s="42"/>
      <x:c r="C448" s="46"/>
      <x:c r="D448" s="4"/>
      <x:c r="E448" s="47" t="str">
        <x:f>IF(C448="☑ Yes",A448,"")</x:f>
      </x:c>
      <x:c r="F448" s="89" t="str">
        <x:f>IF(B448="","",COUNTIF($B$2:$B$500,"&lt;"&amp;B448)+COUNTIF($B$2:B448,B448))</x:f>
      </x:c>
      <x:c r="G448" s="89" t="str">
        <x:f>IFERROR(INDEX($B$2:$B$500,MATCH(ROWS($G$2:G448),$F$2:$F$500,0)),"")</x:f>
      </x:c>
      <x:c r="H448" s="90" t="str">
        <x:f>IFERROR(INDEX($A$2:$A$500,MATCH(G448,$B$2:$B$500,0)),"")</x:f>
      </x:c>
    </x:row>
    <x:row r="449" ht="22" customHeight="1">
      <x:c r="A449" s="45"/>
      <x:c r="B449" s="42"/>
      <x:c r="C449" s="46"/>
      <x:c r="D449" s="4"/>
      <x:c r="E449" s="47" t="str">
        <x:f>IF(C449="☑ Yes",A449,"")</x:f>
      </x:c>
      <x:c r="F449" s="89" t="str">
        <x:f>IF(B449="","",COUNTIF($B$2:$B$500,"&lt;"&amp;B449)+COUNTIF($B$2:B449,B449))</x:f>
      </x:c>
      <x:c r="G449" s="89" t="str">
        <x:f>IFERROR(INDEX($B$2:$B$500,MATCH(ROWS($G$2:G449),$F$2:$F$500,0)),"")</x:f>
      </x:c>
      <x:c r="H449" s="90" t="str">
        <x:f>IFERROR(INDEX($A$2:$A$500,MATCH(G449,$B$2:$B$500,0)),"")</x:f>
      </x:c>
    </x:row>
    <x:row r="450" ht="22" customHeight="1">
      <x:c r="A450" s="45"/>
      <x:c r="B450" s="42"/>
      <x:c r="C450" s="46"/>
      <x:c r="D450" s="4"/>
      <x:c r="E450" s="47" t="str">
        <x:f>IF(C450="☑ Yes",A450,"")</x:f>
      </x:c>
      <x:c r="F450" s="89" t="str">
        <x:f>IF(B450="","",COUNTIF($B$2:$B$500,"&lt;"&amp;B450)+COUNTIF($B$2:B450,B450))</x:f>
      </x:c>
      <x:c r="G450" s="89" t="str">
        <x:f>IFERROR(INDEX($B$2:$B$500,MATCH(ROWS($G$2:G450),$F$2:$F$500,0)),"")</x:f>
      </x:c>
      <x:c r="H450" s="90" t="str">
        <x:f>IFERROR(INDEX($A$2:$A$500,MATCH(G450,$B$2:$B$500,0)),"")</x:f>
      </x:c>
    </x:row>
    <x:row r="451" ht="22" customHeight="1">
      <x:c r="A451" s="45"/>
      <x:c r="B451" s="42"/>
      <x:c r="C451" s="46"/>
      <x:c r="D451" s="4"/>
      <x:c r="E451" s="47" t="str">
        <x:f>IF(C451="☑ Yes",A451,"")</x:f>
      </x:c>
      <x:c r="F451" s="89" t="str">
        <x:f>IF(B451="","",COUNTIF($B$2:$B$500,"&lt;"&amp;B451)+COUNTIF($B$2:B451,B451))</x:f>
      </x:c>
      <x:c r="G451" s="89" t="str">
        <x:f>IFERROR(INDEX($B$2:$B$500,MATCH(ROWS($G$2:G451),$F$2:$F$500,0)),"")</x:f>
      </x:c>
      <x:c r="H451" s="90" t="str">
        <x:f>IFERROR(INDEX($A$2:$A$500,MATCH(G451,$B$2:$B$500,0)),"")</x:f>
      </x:c>
    </x:row>
    <x:row r="452" ht="22" customHeight="1">
      <x:c r="A452" s="45"/>
      <x:c r="B452" s="42"/>
      <x:c r="C452" s="46"/>
      <x:c r="D452" s="4"/>
      <x:c r="E452" s="47" t="str">
        <x:f>IF(C452="☑ Yes",A452,"")</x:f>
      </x:c>
      <x:c r="F452" s="89" t="str">
        <x:f>IF(B452="","",COUNTIF($B$2:$B$500,"&lt;"&amp;B452)+COUNTIF($B$2:B452,B452))</x:f>
      </x:c>
      <x:c r="G452" s="89" t="str">
        <x:f>IFERROR(INDEX($B$2:$B$500,MATCH(ROWS($G$2:G452),$F$2:$F$500,0)),"")</x:f>
      </x:c>
      <x:c r="H452" s="90" t="str">
        <x:f>IFERROR(INDEX($A$2:$A$500,MATCH(G452,$B$2:$B$500,0)),"")</x:f>
      </x:c>
    </x:row>
    <x:row r="453" ht="22" customHeight="1">
      <x:c r="A453" s="45"/>
      <x:c r="B453" s="42"/>
      <x:c r="C453" s="46"/>
      <x:c r="D453" s="4"/>
      <x:c r="E453" s="47" t="str">
        <x:f>IF(C453="☑ Yes",A453,"")</x:f>
      </x:c>
      <x:c r="F453" s="89" t="str">
        <x:f>IF(B453="","",COUNTIF($B$2:$B$500,"&lt;"&amp;B453)+COUNTIF($B$2:B453,B453))</x:f>
      </x:c>
      <x:c r="G453" s="89" t="str">
        <x:f>IFERROR(INDEX($B$2:$B$500,MATCH(ROWS($G$2:G453),$F$2:$F$500,0)),"")</x:f>
      </x:c>
      <x:c r="H453" s="90" t="str">
        <x:f>IFERROR(INDEX($A$2:$A$500,MATCH(G453,$B$2:$B$500,0)),"")</x:f>
      </x:c>
    </x:row>
    <x:row r="454" ht="22" customHeight="1">
      <x:c r="A454" s="45"/>
      <x:c r="B454" s="42"/>
      <x:c r="C454" s="46"/>
      <x:c r="D454" s="4"/>
      <x:c r="E454" s="47" t="str">
        <x:f>IF(C454="☑ Yes",A454,"")</x:f>
      </x:c>
      <x:c r="F454" s="89" t="str">
        <x:f>IF(B454="","",COUNTIF($B$2:$B$500,"&lt;"&amp;B454)+COUNTIF($B$2:B454,B454))</x:f>
      </x:c>
      <x:c r="G454" s="89" t="str">
        <x:f>IFERROR(INDEX($B$2:$B$500,MATCH(ROWS($G$2:G454),$F$2:$F$500,0)),"")</x:f>
      </x:c>
      <x:c r="H454" s="90" t="str">
        <x:f>IFERROR(INDEX($A$2:$A$500,MATCH(G454,$B$2:$B$500,0)),"")</x:f>
      </x:c>
    </x:row>
    <x:row r="455" ht="22" customHeight="1">
      <x:c r="A455" s="45"/>
      <x:c r="B455" s="42"/>
      <x:c r="C455" s="46"/>
      <x:c r="D455" s="4"/>
      <x:c r="E455" s="47" t="str">
        <x:f>IF(C455="☑ Yes",A455,"")</x:f>
      </x:c>
      <x:c r="F455" s="89" t="str">
        <x:f>IF(B455="","",COUNTIF($B$2:$B$500,"&lt;"&amp;B455)+COUNTIF($B$2:B455,B455))</x:f>
      </x:c>
      <x:c r="G455" s="89" t="str">
        <x:f>IFERROR(INDEX($B$2:$B$500,MATCH(ROWS($G$2:G455),$F$2:$F$500,0)),"")</x:f>
      </x:c>
      <x:c r="H455" s="90" t="str">
        <x:f>IFERROR(INDEX($A$2:$A$500,MATCH(G455,$B$2:$B$500,0)),"")</x:f>
      </x:c>
    </x:row>
    <x:row r="456" ht="22" customHeight="1">
      <x:c r="A456" s="45"/>
      <x:c r="B456" s="42"/>
      <x:c r="C456" s="46"/>
      <x:c r="D456" s="4"/>
      <x:c r="E456" s="47" t="str">
        <x:f>IF(C456="☑ Yes",A456,"")</x:f>
      </x:c>
      <x:c r="F456" s="89" t="str">
        <x:f>IF(B456="","",COUNTIF($B$2:$B$500,"&lt;"&amp;B456)+COUNTIF($B$2:B456,B456))</x:f>
      </x:c>
      <x:c r="G456" s="89" t="str">
        <x:f>IFERROR(INDEX($B$2:$B$500,MATCH(ROWS($G$2:G456),$F$2:$F$500,0)),"")</x:f>
      </x:c>
      <x:c r="H456" s="90" t="str">
        <x:f>IFERROR(INDEX($A$2:$A$500,MATCH(G456,$B$2:$B$500,0)),"")</x:f>
      </x:c>
    </x:row>
    <x:row r="457" ht="22" customHeight="1">
      <x:c r="A457" s="45"/>
      <x:c r="B457" s="42"/>
      <x:c r="C457" s="46"/>
      <x:c r="D457" s="4"/>
      <x:c r="E457" s="47" t="str">
        <x:f>IF(C457="☑ Yes",A457,"")</x:f>
      </x:c>
      <x:c r="F457" s="89" t="str">
        <x:f>IF(B457="","",COUNTIF($B$2:$B$500,"&lt;"&amp;B457)+COUNTIF($B$2:B457,B457))</x:f>
      </x:c>
      <x:c r="G457" s="89" t="str">
        <x:f>IFERROR(INDEX($B$2:$B$500,MATCH(ROWS($G$2:G457),$F$2:$F$500,0)),"")</x:f>
      </x:c>
      <x:c r="H457" s="90" t="str">
        <x:f>IFERROR(INDEX($A$2:$A$500,MATCH(G457,$B$2:$B$500,0)),"")</x:f>
      </x:c>
    </x:row>
    <x:row r="458" ht="22" customHeight="1">
      <x:c r="A458" s="45"/>
      <x:c r="B458" s="42"/>
      <x:c r="C458" s="46"/>
      <x:c r="D458" s="4"/>
      <x:c r="E458" s="47" t="str">
        <x:f>IF(C458="☑ Yes",A458,"")</x:f>
      </x:c>
      <x:c r="F458" s="89" t="str">
        <x:f>IF(B458="","",COUNTIF($B$2:$B$500,"&lt;"&amp;B458)+COUNTIF($B$2:B458,B458))</x:f>
      </x:c>
      <x:c r="G458" s="89" t="str">
        <x:f>IFERROR(INDEX($B$2:$B$500,MATCH(ROWS($G$2:G458),$F$2:$F$500,0)),"")</x:f>
      </x:c>
      <x:c r="H458" s="90" t="str">
        <x:f>IFERROR(INDEX($A$2:$A$500,MATCH(G458,$B$2:$B$500,0)),"")</x:f>
      </x:c>
    </x:row>
    <x:row r="459" ht="22" customHeight="1">
      <x:c r="A459" s="45"/>
      <x:c r="B459" s="42"/>
      <x:c r="C459" s="46"/>
      <x:c r="D459" s="4"/>
      <x:c r="E459" s="47" t="str">
        <x:f>IF(C459="☑ Yes",A459,"")</x:f>
      </x:c>
      <x:c r="F459" s="89" t="str">
        <x:f>IF(B459="","",COUNTIF($B$2:$B$500,"&lt;"&amp;B459)+COUNTIF($B$2:B459,B459))</x:f>
      </x:c>
      <x:c r="G459" s="89" t="str">
        <x:f>IFERROR(INDEX($B$2:$B$500,MATCH(ROWS($G$2:G459),$F$2:$F$500,0)),"")</x:f>
      </x:c>
      <x:c r="H459" s="90" t="str">
        <x:f>IFERROR(INDEX($A$2:$A$500,MATCH(G459,$B$2:$B$500,0)),"")</x:f>
      </x:c>
    </x:row>
    <x:row r="460" ht="22" customHeight="1">
      <x:c r="A460" s="45"/>
      <x:c r="B460" s="42"/>
      <x:c r="C460" s="46"/>
      <x:c r="D460" s="4"/>
      <x:c r="E460" s="47" t="str">
        <x:f>IF(C460="☑ Yes",A460,"")</x:f>
      </x:c>
      <x:c r="F460" s="89" t="str">
        <x:f>IF(B460="","",COUNTIF($B$2:$B$500,"&lt;"&amp;B460)+COUNTIF($B$2:B460,B460))</x:f>
      </x:c>
      <x:c r="G460" s="89" t="str">
        <x:f>IFERROR(INDEX($B$2:$B$500,MATCH(ROWS($G$2:G460),$F$2:$F$500,0)),"")</x:f>
      </x:c>
      <x:c r="H460" s="90" t="str">
        <x:f>IFERROR(INDEX($A$2:$A$500,MATCH(G460,$B$2:$B$500,0)),"")</x:f>
      </x:c>
    </x:row>
    <x:row r="461" ht="22" customHeight="1">
      <x:c r="A461" s="45"/>
      <x:c r="B461" s="42"/>
      <x:c r="C461" s="46"/>
      <x:c r="D461" s="4"/>
      <x:c r="E461" s="47" t="str">
        <x:f>IF(C461="☑ Yes",A461,"")</x:f>
      </x:c>
      <x:c r="F461" s="89" t="str">
        <x:f>IF(B461="","",COUNTIF($B$2:$B$500,"&lt;"&amp;B461)+COUNTIF($B$2:B461,B461))</x:f>
      </x:c>
      <x:c r="G461" s="89" t="str">
        <x:f>IFERROR(INDEX($B$2:$B$500,MATCH(ROWS($G$2:G461),$F$2:$F$500,0)),"")</x:f>
      </x:c>
      <x:c r="H461" s="90" t="str">
        <x:f>IFERROR(INDEX($A$2:$A$500,MATCH(G461,$B$2:$B$500,0)),"")</x:f>
      </x:c>
    </x:row>
    <x:row r="462" ht="22" customHeight="1">
      <x:c r="A462" s="45"/>
      <x:c r="B462" s="42"/>
      <x:c r="C462" s="46"/>
      <x:c r="D462" s="4"/>
      <x:c r="E462" s="47" t="str">
        <x:f>IF(C462="☑ Yes",A462,"")</x:f>
      </x:c>
      <x:c r="F462" s="89" t="str">
        <x:f>IF(B462="","",COUNTIF($B$2:$B$500,"&lt;"&amp;B462)+COUNTIF($B$2:B462,B462))</x:f>
      </x:c>
      <x:c r="G462" s="89" t="str">
        <x:f>IFERROR(INDEX($B$2:$B$500,MATCH(ROWS($G$2:G462),$F$2:$F$500,0)),"")</x:f>
      </x:c>
      <x:c r="H462" s="90" t="str">
        <x:f>IFERROR(INDEX($A$2:$A$500,MATCH(G462,$B$2:$B$500,0)),"")</x:f>
      </x:c>
    </x:row>
    <x:row r="463" ht="22" customHeight="1">
      <x:c r="A463" s="45"/>
      <x:c r="B463" s="42"/>
      <x:c r="C463" s="46"/>
      <x:c r="D463" s="4"/>
      <x:c r="E463" s="47" t="str">
        <x:f>IF(C463="☑ Yes",A463,"")</x:f>
      </x:c>
      <x:c r="F463" s="89" t="str">
        <x:f>IF(B463="","",COUNTIF($B$2:$B$500,"&lt;"&amp;B463)+COUNTIF($B$2:B463,B463))</x:f>
      </x:c>
      <x:c r="G463" s="89" t="str">
        <x:f>IFERROR(INDEX($B$2:$B$500,MATCH(ROWS($G$2:G463),$F$2:$F$500,0)),"")</x:f>
      </x:c>
      <x:c r="H463" s="90" t="str">
        <x:f>IFERROR(INDEX($A$2:$A$500,MATCH(G463,$B$2:$B$500,0)),"")</x:f>
      </x:c>
    </x:row>
    <x:row r="464" ht="22" customHeight="1">
      <x:c r="A464" s="45"/>
      <x:c r="B464" s="42"/>
      <x:c r="C464" s="46"/>
      <x:c r="D464" s="4"/>
      <x:c r="E464" s="47" t="str">
        <x:f>IF(C464="☑ Yes",A464,"")</x:f>
      </x:c>
      <x:c r="F464" s="89" t="str">
        <x:f>IF(B464="","",COUNTIF($B$2:$B$500,"&lt;"&amp;B464)+COUNTIF($B$2:B464,B464))</x:f>
      </x:c>
      <x:c r="G464" s="89" t="str">
        <x:f>IFERROR(INDEX($B$2:$B$500,MATCH(ROWS($G$2:G464),$F$2:$F$500,0)),"")</x:f>
      </x:c>
      <x:c r="H464" s="90" t="str">
        <x:f>IFERROR(INDEX($A$2:$A$500,MATCH(G464,$B$2:$B$500,0)),"")</x:f>
      </x:c>
    </x:row>
    <x:row r="465" ht="22" customHeight="1">
      <x:c r="A465" s="45"/>
      <x:c r="B465" s="42"/>
      <x:c r="C465" s="46"/>
      <x:c r="D465" s="4"/>
      <x:c r="E465" s="47" t="str">
        <x:f>IF(C465="☑ Yes",A465,"")</x:f>
      </x:c>
      <x:c r="F465" s="89" t="str">
        <x:f>IF(B465="","",COUNTIF($B$2:$B$500,"&lt;"&amp;B465)+COUNTIF($B$2:B465,B465))</x:f>
      </x:c>
      <x:c r="G465" s="89" t="str">
        <x:f>IFERROR(INDEX($B$2:$B$500,MATCH(ROWS($G$2:G465),$F$2:$F$500,0)),"")</x:f>
      </x:c>
      <x:c r="H465" s="90" t="str">
        <x:f>IFERROR(INDEX($A$2:$A$500,MATCH(G465,$B$2:$B$500,0)),"")</x:f>
      </x:c>
    </x:row>
    <x:row r="466" ht="22" customHeight="1">
      <x:c r="A466" s="45"/>
      <x:c r="B466" s="42"/>
      <x:c r="C466" s="46"/>
      <x:c r="D466" s="4"/>
      <x:c r="E466" s="47" t="str">
        <x:f>IF(C466="☑ Yes",A466,"")</x:f>
      </x:c>
      <x:c r="F466" s="89" t="str">
        <x:f>IF(B466="","",COUNTIF($B$2:$B$500,"&lt;"&amp;B466)+COUNTIF($B$2:B466,B466))</x:f>
      </x:c>
      <x:c r="G466" s="89" t="str">
        <x:f>IFERROR(INDEX($B$2:$B$500,MATCH(ROWS($G$2:G466),$F$2:$F$500,0)),"")</x:f>
      </x:c>
      <x:c r="H466" s="90" t="str">
        <x:f>IFERROR(INDEX($A$2:$A$500,MATCH(G466,$B$2:$B$500,0)),"")</x:f>
      </x:c>
    </x:row>
    <x:row r="467" ht="22" customHeight="1">
      <x:c r="A467" s="45"/>
      <x:c r="B467" s="42"/>
      <x:c r="C467" s="46"/>
      <x:c r="D467" s="4"/>
      <x:c r="E467" s="47" t="str">
        <x:f>IF(C467="☑ Yes",A467,"")</x:f>
      </x:c>
      <x:c r="F467" s="89" t="str">
        <x:f>IF(B467="","",COUNTIF($B$2:$B$500,"&lt;"&amp;B467)+COUNTIF($B$2:B467,B467))</x:f>
      </x:c>
      <x:c r="G467" s="89" t="str">
        <x:f>IFERROR(INDEX($B$2:$B$500,MATCH(ROWS($G$2:G467),$F$2:$F$500,0)),"")</x:f>
      </x:c>
      <x:c r="H467" s="90" t="str">
        <x:f>IFERROR(INDEX($A$2:$A$500,MATCH(G467,$B$2:$B$500,0)),"")</x:f>
      </x:c>
    </x:row>
    <x:row r="468" ht="22" customHeight="1">
      <x:c r="A468" s="45"/>
      <x:c r="B468" s="42"/>
      <x:c r="C468" s="46"/>
      <x:c r="D468" s="4"/>
      <x:c r="E468" s="47" t="str">
        <x:f>IF(C468="☑ Yes",A468,"")</x:f>
      </x:c>
      <x:c r="F468" s="89" t="str">
        <x:f>IF(B468="","",COUNTIF($B$2:$B$500,"&lt;"&amp;B468)+COUNTIF($B$2:B468,B468))</x:f>
      </x:c>
      <x:c r="G468" s="89" t="str">
        <x:f>IFERROR(INDEX($B$2:$B$500,MATCH(ROWS($G$2:G468),$F$2:$F$500,0)),"")</x:f>
      </x:c>
      <x:c r="H468" s="90" t="str">
        <x:f>IFERROR(INDEX($A$2:$A$500,MATCH(G468,$B$2:$B$500,0)),"")</x:f>
      </x:c>
    </x:row>
    <x:row r="469" ht="22" customHeight="1">
      <x:c r="A469" s="45"/>
      <x:c r="B469" s="42"/>
      <x:c r="C469" s="46"/>
      <x:c r="D469" s="4"/>
      <x:c r="E469" s="47" t="str">
        <x:f>IF(C469="☑ Yes",A469,"")</x:f>
      </x:c>
      <x:c r="F469" s="89" t="str">
        <x:f>IF(B469="","",COUNTIF($B$2:$B$500,"&lt;"&amp;B469)+COUNTIF($B$2:B469,B469))</x:f>
      </x:c>
      <x:c r="G469" s="89" t="str">
        <x:f>IFERROR(INDEX($B$2:$B$500,MATCH(ROWS($G$2:G469),$F$2:$F$500,0)),"")</x:f>
      </x:c>
      <x:c r="H469" s="90" t="str">
        <x:f>IFERROR(INDEX($A$2:$A$500,MATCH(G469,$B$2:$B$500,0)),"")</x:f>
      </x:c>
    </x:row>
    <x:row r="470" ht="22" customHeight="1">
      <x:c r="A470" s="45"/>
      <x:c r="B470" s="42"/>
      <x:c r="C470" s="46"/>
      <x:c r="D470" s="4"/>
      <x:c r="E470" s="47" t="str">
        <x:f>IF(C470="☑ Yes",A470,"")</x:f>
      </x:c>
      <x:c r="F470" s="89" t="str">
        <x:f>IF(B470="","",COUNTIF($B$2:$B$500,"&lt;"&amp;B470)+COUNTIF($B$2:B470,B470))</x:f>
      </x:c>
      <x:c r="G470" s="89" t="str">
        <x:f>IFERROR(INDEX($B$2:$B$500,MATCH(ROWS($G$2:G470),$F$2:$F$500,0)),"")</x:f>
      </x:c>
      <x:c r="H470" s="90" t="str">
        <x:f>IFERROR(INDEX($A$2:$A$500,MATCH(G470,$B$2:$B$500,0)),"")</x:f>
      </x:c>
    </x:row>
    <x:row r="471" ht="22" customHeight="1">
      <x:c r="A471" s="45"/>
      <x:c r="B471" s="42"/>
      <x:c r="C471" s="46"/>
      <x:c r="D471" s="4"/>
      <x:c r="E471" s="47" t="str">
        <x:f>IF(C471="☑ Yes",A471,"")</x:f>
      </x:c>
      <x:c r="F471" s="89" t="str">
        <x:f>IF(B471="","",COUNTIF($B$2:$B$500,"&lt;"&amp;B471)+COUNTIF($B$2:B471,B471))</x:f>
      </x:c>
      <x:c r="G471" s="89" t="str">
        <x:f>IFERROR(INDEX($B$2:$B$500,MATCH(ROWS($G$2:G471),$F$2:$F$500,0)),"")</x:f>
      </x:c>
      <x:c r="H471" s="90" t="str">
        <x:f>IFERROR(INDEX($A$2:$A$500,MATCH(G471,$B$2:$B$500,0)),"")</x:f>
      </x:c>
    </x:row>
    <x:row r="472" ht="22" customHeight="1">
      <x:c r="A472" s="45"/>
      <x:c r="B472" s="42"/>
      <x:c r="C472" s="46"/>
      <x:c r="D472" s="4"/>
      <x:c r="E472" s="47" t="str">
        <x:f>IF(C472="☑ Yes",A472,"")</x:f>
      </x:c>
      <x:c r="F472" s="89" t="str">
        <x:f>IF(B472="","",COUNTIF($B$2:$B$500,"&lt;"&amp;B472)+COUNTIF($B$2:B472,B472))</x:f>
      </x:c>
      <x:c r="G472" s="89" t="str">
        <x:f>IFERROR(INDEX($B$2:$B$500,MATCH(ROWS($G$2:G472),$F$2:$F$500,0)),"")</x:f>
      </x:c>
      <x:c r="H472" s="90" t="str">
        <x:f>IFERROR(INDEX($A$2:$A$500,MATCH(G472,$B$2:$B$500,0)),"")</x:f>
      </x:c>
    </x:row>
    <x:row r="473" ht="22" customHeight="1">
      <x:c r="A473" s="45"/>
      <x:c r="B473" s="42"/>
      <x:c r="C473" s="46"/>
      <x:c r="D473" s="4"/>
      <x:c r="E473" s="47" t="str">
        <x:f>IF(C473="☑ Yes",A473,"")</x:f>
      </x:c>
      <x:c r="F473" s="89" t="str">
        <x:f>IF(B473="","",COUNTIF($B$2:$B$500,"&lt;"&amp;B473)+COUNTIF($B$2:B473,B473))</x:f>
      </x:c>
      <x:c r="G473" s="89" t="str">
        <x:f>IFERROR(INDEX($B$2:$B$500,MATCH(ROWS($G$2:G473),$F$2:$F$500,0)),"")</x:f>
      </x:c>
      <x:c r="H473" s="90" t="str">
        <x:f>IFERROR(INDEX($A$2:$A$500,MATCH(G473,$B$2:$B$500,0)),"")</x:f>
      </x:c>
    </x:row>
    <x:row r="474" ht="22" customHeight="1">
      <x:c r="A474" s="45"/>
      <x:c r="B474" s="42"/>
      <x:c r="C474" s="46"/>
      <x:c r="D474" s="4"/>
      <x:c r="E474" s="47" t="str">
        <x:f>IF(C474="☑ Yes",A474,"")</x:f>
      </x:c>
      <x:c r="F474" s="89" t="str">
        <x:f>IF(B474="","",COUNTIF($B$2:$B$500,"&lt;"&amp;B474)+COUNTIF($B$2:B474,B474))</x:f>
      </x:c>
      <x:c r="G474" s="89" t="str">
        <x:f>IFERROR(INDEX($B$2:$B$500,MATCH(ROWS($G$2:G474),$F$2:$F$500,0)),"")</x:f>
      </x:c>
      <x:c r="H474" s="90" t="str">
        <x:f>IFERROR(INDEX($A$2:$A$500,MATCH(G474,$B$2:$B$500,0)),"")</x:f>
      </x:c>
    </x:row>
    <x:row r="475" ht="22" customHeight="1">
      <x:c r="A475" s="45"/>
      <x:c r="B475" s="42"/>
      <x:c r="C475" s="46"/>
      <x:c r="D475" s="4"/>
      <x:c r="E475" s="47" t="str">
        <x:f>IF(C475="☑ Yes",A475,"")</x:f>
      </x:c>
      <x:c r="F475" s="89" t="str">
        <x:f>IF(B475="","",COUNTIF($B$2:$B$500,"&lt;"&amp;B475)+COUNTIF($B$2:B475,B475))</x:f>
      </x:c>
      <x:c r="G475" s="89" t="str">
        <x:f>IFERROR(INDEX($B$2:$B$500,MATCH(ROWS($G$2:G475),$F$2:$F$500,0)),"")</x:f>
      </x:c>
      <x:c r="H475" s="90" t="str">
        <x:f>IFERROR(INDEX($A$2:$A$500,MATCH(G475,$B$2:$B$500,0)),"")</x:f>
      </x:c>
    </x:row>
    <x:row r="476" ht="22" customHeight="1">
      <x:c r="A476" s="45"/>
      <x:c r="B476" s="42"/>
      <x:c r="C476" s="46"/>
      <x:c r="D476" s="4"/>
      <x:c r="E476" s="47" t="str">
        <x:f>IF(C476="☑ Yes",A476,"")</x:f>
      </x:c>
      <x:c r="F476" s="89" t="str">
        <x:f>IF(B476="","",COUNTIF($B$2:$B$500,"&lt;"&amp;B476)+COUNTIF($B$2:B476,B476))</x:f>
      </x:c>
      <x:c r="G476" s="89" t="str">
        <x:f>IFERROR(INDEX($B$2:$B$500,MATCH(ROWS($G$2:G476),$F$2:$F$500,0)),"")</x:f>
      </x:c>
      <x:c r="H476" s="90" t="str">
        <x:f>IFERROR(INDEX($A$2:$A$500,MATCH(G476,$B$2:$B$500,0)),"")</x:f>
      </x:c>
    </x:row>
    <x:row r="477" ht="22" customHeight="1">
      <x:c r="A477" s="45"/>
      <x:c r="B477" s="42"/>
      <x:c r="C477" s="46"/>
      <x:c r="D477" s="4"/>
      <x:c r="E477" s="47" t="str">
        <x:f>IF(C477="☑ Yes",A477,"")</x:f>
      </x:c>
      <x:c r="F477" s="89" t="str">
        <x:f>IF(B477="","",COUNTIF($B$2:$B$500,"&lt;"&amp;B477)+COUNTIF($B$2:B477,B477))</x:f>
      </x:c>
      <x:c r="G477" s="89" t="str">
        <x:f>IFERROR(INDEX($B$2:$B$500,MATCH(ROWS($G$2:G477),$F$2:$F$500,0)),"")</x:f>
      </x:c>
      <x:c r="H477" s="90" t="str">
        <x:f>IFERROR(INDEX($A$2:$A$500,MATCH(G477,$B$2:$B$500,0)),"")</x:f>
      </x:c>
    </x:row>
    <x:row r="478" ht="22" customHeight="1">
      <x:c r="A478" s="45"/>
      <x:c r="B478" s="42"/>
      <x:c r="C478" s="46"/>
      <x:c r="D478" s="4"/>
      <x:c r="E478" s="47" t="str">
        <x:f>IF(C478="☑ Yes",A478,"")</x:f>
      </x:c>
      <x:c r="F478" s="89" t="str">
        <x:f>IF(B478="","",COUNTIF($B$2:$B$500,"&lt;"&amp;B478)+COUNTIF($B$2:B478,B478))</x:f>
      </x:c>
      <x:c r="G478" s="89" t="str">
        <x:f>IFERROR(INDEX($B$2:$B$500,MATCH(ROWS($G$2:G478),$F$2:$F$500,0)),"")</x:f>
      </x:c>
      <x:c r="H478" s="90" t="str">
        <x:f>IFERROR(INDEX($A$2:$A$500,MATCH(G478,$B$2:$B$500,0)),"")</x:f>
      </x:c>
    </x:row>
    <x:row r="479" ht="22" customHeight="1">
      <x:c r="A479" s="45"/>
      <x:c r="B479" s="42"/>
      <x:c r="C479" s="46"/>
      <x:c r="D479" s="4"/>
      <x:c r="E479" s="47" t="str">
        <x:f>IF(C479="☑ Yes",A479,"")</x:f>
      </x:c>
      <x:c r="F479" s="89" t="str">
        <x:f>IF(B479="","",COUNTIF($B$2:$B$500,"&lt;"&amp;B479)+COUNTIF($B$2:B479,B479))</x:f>
      </x:c>
      <x:c r="G479" s="89" t="str">
        <x:f>IFERROR(INDEX($B$2:$B$500,MATCH(ROWS($G$2:G479),$F$2:$F$500,0)),"")</x:f>
      </x:c>
      <x:c r="H479" s="90" t="str">
        <x:f>IFERROR(INDEX($A$2:$A$500,MATCH(G479,$B$2:$B$500,0)),"")</x:f>
      </x:c>
    </x:row>
    <x:row r="480" ht="22" customHeight="1">
      <x:c r="A480" s="45"/>
      <x:c r="B480" s="42"/>
      <x:c r="C480" s="46"/>
      <x:c r="D480" s="4"/>
      <x:c r="E480" s="47" t="str">
        <x:f>IF(C480="☑ Yes",A480,"")</x:f>
      </x:c>
      <x:c r="F480" s="89" t="str">
        <x:f>IF(B480="","",COUNTIF($B$2:$B$500,"&lt;"&amp;B480)+COUNTIF($B$2:B480,B480))</x:f>
      </x:c>
      <x:c r="G480" s="89" t="str">
        <x:f>IFERROR(INDEX($B$2:$B$500,MATCH(ROWS($G$2:G480),$F$2:$F$500,0)),"")</x:f>
      </x:c>
      <x:c r="H480" s="90" t="str">
        <x:f>IFERROR(INDEX($A$2:$A$500,MATCH(G480,$B$2:$B$500,0)),"")</x:f>
      </x:c>
    </x:row>
    <x:row r="481" ht="22" customHeight="1">
      <x:c r="A481" s="45"/>
      <x:c r="B481" s="42"/>
      <x:c r="C481" s="46"/>
      <x:c r="D481" s="4"/>
      <x:c r="E481" s="47" t="str">
        <x:f>IF(C481="☑ Yes",A481,"")</x:f>
      </x:c>
      <x:c r="F481" s="89" t="str">
        <x:f>IF(B481="","",COUNTIF($B$2:$B$500,"&lt;"&amp;B481)+COUNTIF($B$2:B481,B481))</x:f>
      </x:c>
      <x:c r="G481" s="89" t="str">
        <x:f>IFERROR(INDEX($B$2:$B$500,MATCH(ROWS($G$2:G481),$F$2:$F$500,0)),"")</x:f>
      </x:c>
      <x:c r="H481" s="90" t="str">
        <x:f>IFERROR(INDEX($A$2:$A$500,MATCH(G481,$B$2:$B$500,0)),"")</x:f>
      </x:c>
    </x:row>
    <x:row r="482" ht="22" customHeight="1">
      <x:c r="A482" s="45"/>
      <x:c r="B482" s="42"/>
      <x:c r="C482" s="46"/>
      <x:c r="D482" s="4"/>
      <x:c r="E482" s="47" t="str">
        <x:f>IF(C482="☑ Yes",A482,"")</x:f>
      </x:c>
      <x:c r="F482" s="89" t="str">
        <x:f>IF(B482="","",COUNTIF($B$2:$B$500,"&lt;"&amp;B482)+COUNTIF($B$2:B482,B482))</x:f>
      </x:c>
      <x:c r="G482" s="89" t="str">
        <x:f>IFERROR(INDEX($B$2:$B$500,MATCH(ROWS($G$2:G482),$F$2:$F$500,0)),"")</x:f>
      </x:c>
      <x:c r="H482" s="90" t="str">
        <x:f>IFERROR(INDEX($A$2:$A$500,MATCH(G482,$B$2:$B$500,0)),"")</x:f>
      </x:c>
    </x:row>
    <x:row r="483" ht="22" customHeight="1">
      <x:c r="A483" s="45"/>
      <x:c r="B483" s="42"/>
      <x:c r="C483" s="46"/>
      <x:c r="D483" s="4"/>
      <x:c r="E483" s="47" t="str">
        <x:f>IF(C483="☑ Yes",A483,"")</x:f>
      </x:c>
      <x:c r="F483" s="89" t="str">
        <x:f>IF(B483="","",COUNTIF($B$2:$B$500,"&lt;"&amp;B483)+COUNTIF($B$2:B483,B483))</x:f>
      </x:c>
      <x:c r="G483" s="89" t="str">
        <x:f>IFERROR(INDEX($B$2:$B$500,MATCH(ROWS($G$2:G483),$F$2:$F$500,0)),"")</x:f>
      </x:c>
      <x:c r="H483" s="90" t="str">
        <x:f>IFERROR(INDEX($A$2:$A$500,MATCH(G483,$B$2:$B$500,0)),"")</x:f>
      </x:c>
    </x:row>
    <x:row r="484" ht="22" customHeight="1">
      <x:c r="A484" s="45"/>
      <x:c r="B484" s="42"/>
      <x:c r="C484" s="46"/>
      <x:c r="D484" s="4"/>
      <x:c r="E484" s="47" t="str">
        <x:f>IF(C484="☑ Yes",A484,"")</x:f>
      </x:c>
      <x:c r="F484" s="89" t="str">
        <x:f>IF(B484="","",COUNTIF($B$2:$B$500,"&lt;"&amp;B484)+COUNTIF($B$2:B484,B484))</x:f>
      </x:c>
      <x:c r="G484" s="89" t="str">
        <x:f>IFERROR(INDEX($B$2:$B$500,MATCH(ROWS($G$2:G484),$F$2:$F$500,0)),"")</x:f>
      </x:c>
      <x:c r="H484" s="90" t="str">
        <x:f>IFERROR(INDEX($A$2:$A$500,MATCH(G484,$B$2:$B$500,0)),"")</x:f>
      </x:c>
    </x:row>
    <x:row r="485" ht="22" customHeight="1">
      <x:c r="A485" s="45"/>
      <x:c r="B485" s="42"/>
      <x:c r="C485" s="46"/>
      <x:c r="D485" s="4"/>
      <x:c r="E485" s="47" t="str">
        <x:f>IF(C485="☑ Yes",A485,"")</x:f>
      </x:c>
      <x:c r="F485" s="89" t="str">
        <x:f>IF(B485="","",COUNTIF($B$2:$B$500,"&lt;"&amp;B485)+COUNTIF($B$2:B485,B485))</x:f>
      </x:c>
      <x:c r="G485" s="89" t="str">
        <x:f>IFERROR(INDEX($B$2:$B$500,MATCH(ROWS($G$2:G485),$F$2:$F$500,0)),"")</x:f>
      </x:c>
      <x:c r="H485" s="90" t="str">
        <x:f>IFERROR(INDEX($A$2:$A$500,MATCH(G485,$B$2:$B$500,0)),"")</x:f>
      </x:c>
    </x:row>
    <x:row r="486" ht="22" customHeight="1">
      <x:c r="A486" s="45"/>
      <x:c r="B486" s="42"/>
      <x:c r="C486" s="46"/>
      <x:c r="D486" s="4"/>
      <x:c r="E486" s="47" t="str">
        <x:f>IF(C486="☑ Yes",A486,"")</x:f>
      </x:c>
      <x:c r="F486" s="89" t="str">
        <x:f>IF(B486="","",COUNTIF($B$2:$B$500,"&lt;"&amp;B486)+COUNTIF($B$2:B486,B486))</x:f>
      </x:c>
      <x:c r="G486" s="89" t="str">
        <x:f>IFERROR(INDEX($B$2:$B$500,MATCH(ROWS($G$2:G486),$F$2:$F$500,0)),"")</x:f>
      </x:c>
      <x:c r="H486" s="90" t="str">
        <x:f>IFERROR(INDEX($A$2:$A$500,MATCH(G486,$B$2:$B$500,0)),"")</x:f>
      </x:c>
    </x:row>
    <x:row r="487" ht="22" customHeight="1">
      <x:c r="A487" s="45"/>
      <x:c r="B487" s="42"/>
      <x:c r="C487" s="46"/>
      <x:c r="D487" s="4"/>
      <x:c r="E487" s="47" t="str">
        <x:f>IF(C487="☑ Yes",A487,"")</x:f>
      </x:c>
      <x:c r="F487" s="89" t="str">
        <x:f>IF(B487="","",COUNTIF($B$2:$B$500,"&lt;"&amp;B487)+COUNTIF($B$2:B487,B487))</x:f>
      </x:c>
      <x:c r="G487" s="89" t="str">
        <x:f>IFERROR(INDEX($B$2:$B$500,MATCH(ROWS($G$2:G487),$F$2:$F$500,0)),"")</x:f>
      </x:c>
      <x:c r="H487" s="90" t="str">
        <x:f>IFERROR(INDEX($A$2:$A$500,MATCH(G487,$B$2:$B$500,0)),"")</x:f>
      </x:c>
    </x:row>
    <x:row r="488" ht="22" customHeight="1">
      <x:c r="A488" s="45"/>
      <x:c r="B488" s="42"/>
      <x:c r="C488" s="46"/>
      <x:c r="D488" s="4"/>
      <x:c r="E488" s="47" t="str">
        <x:f>IF(C488="☑ Yes",A488,"")</x:f>
      </x:c>
      <x:c r="F488" s="89" t="str">
        <x:f>IF(B488="","",COUNTIF($B$2:$B$500,"&lt;"&amp;B488)+COUNTIF($B$2:B488,B488))</x:f>
      </x:c>
      <x:c r="G488" s="89" t="str">
        <x:f>IFERROR(INDEX($B$2:$B$500,MATCH(ROWS($G$2:G488),$F$2:$F$500,0)),"")</x:f>
      </x:c>
      <x:c r="H488" s="90" t="str">
        <x:f>IFERROR(INDEX($A$2:$A$500,MATCH(G488,$B$2:$B$500,0)),"")</x:f>
      </x:c>
    </x:row>
    <x:row r="489" ht="22" customHeight="1">
      <x:c r="A489" s="45"/>
      <x:c r="B489" s="42"/>
      <x:c r="C489" s="46"/>
      <x:c r="D489" s="4"/>
      <x:c r="E489" s="47" t="str">
        <x:f>IF(C489="☑ Yes",A489,"")</x:f>
      </x:c>
      <x:c r="F489" s="89" t="str">
        <x:f>IF(B489="","",COUNTIF($B$2:$B$500,"&lt;"&amp;B489)+COUNTIF($B$2:B489,B489))</x:f>
      </x:c>
      <x:c r="G489" s="89" t="str">
        <x:f>IFERROR(INDEX($B$2:$B$500,MATCH(ROWS($G$2:G489),$F$2:$F$500,0)),"")</x:f>
      </x:c>
      <x:c r="H489" s="90" t="str">
        <x:f>IFERROR(INDEX($A$2:$A$500,MATCH(G489,$B$2:$B$500,0)),"")</x:f>
      </x:c>
    </x:row>
    <x:row r="490" ht="22" customHeight="1">
      <x:c r="A490" s="45"/>
      <x:c r="B490" s="42"/>
      <x:c r="C490" s="46"/>
      <x:c r="D490" s="4"/>
      <x:c r="E490" s="47" t="str">
        <x:f>IF(C490="☑ Yes",A490,"")</x:f>
      </x:c>
      <x:c r="F490" s="89" t="str">
        <x:f>IF(B490="","",COUNTIF($B$2:$B$500,"&lt;"&amp;B490)+COUNTIF($B$2:B490,B490))</x:f>
      </x:c>
      <x:c r="G490" s="89" t="str">
        <x:f>IFERROR(INDEX($B$2:$B$500,MATCH(ROWS($G$2:G490),$F$2:$F$500,0)),"")</x:f>
      </x:c>
      <x:c r="H490" s="90" t="str">
        <x:f>IFERROR(INDEX($A$2:$A$500,MATCH(G490,$B$2:$B$500,0)),"")</x:f>
      </x:c>
    </x:row>
    <x:row r="491" ht="22" customHeight="1">
      <x:c r="A491" s="45"/>
      <x:c r="B491" s="42"/>
      <x:c r="C491" s="46"/>
      <x:c r="D491" s="4"/>
      <x:c r="E491" s="47" t="str">
        <x:f>IF(C491="☑ Yes",A491,"")</x:f>
      </x:c>
      <x:c r="F491" s="89" t="str">
        <x:f>IF(B491="","",COUNTIF($B$2:$B$500,"&lt;"&amp;B491)+COUNTIF($B$2:B491,B491))</x:f>
      </x:c>
      <x:c r="G491" s="89" t="str">
        <x:f>IFERROR(INDEX($B$2:$B$500,MATCH(ROWS($G$2:G491),$F$2:$F$500,0)),"")</x:f>
      </x:c>
      <x:c r="H491" s="90" t="str">
        <x:f>IFERROR(INDEX($A$2:$A$500,MATCH(G491,$B$2:$B$500,0)),"")</x:f>
      </x:c>
    </x:row>
    <x:row r="492" ht="22" customHeight="1">
      <x:c r="A492" s="45"/>
      <x:c r="B492" s="42"/>
      <x:c r="C492" s="46"/>
      <x:c r="D492" s="4"/>
      <x:c r="E492" s="47" t="str">
        <x:f>IF(C492="☑ Yes",A492,"")</x:f>
      </x:c>
      <x:c r="F492" s="89" t="str">
        <x:f>IF(B492="","",COUNTIF($B$2:$B$500,"&lt;"&amp;B492)+COUNTIF($B$2:B492,B492))</x:f>
      </x:c>
      <x:c r="G492" s="89" t="str">
        <x:f>IFERROR(INDEX($B$2:$B$500,MATCH(ROWS($G$2:G492),$F$2:$F$500,0)),"")</x:f>
      </x:c>
      <x:c r="H492" s="90" t="str">
        <x:f>IFERROR(INDEX($A$2:$A$500,MATCH(G492,$B$2:$B$500,0)),"")</x:f>
      </x:c>
    </x:row>
    <x:row r="493" ht="22" customHeight="1">
      <x:c r="A493" s="45"/>
      <x:c r="B493" s="42"/>
      <x:c r="C493" s="46"/>
      <x:c r="D493" s="4"/>
      <x:c r="E493" s="47" t="str">
        <x:f>IF(C493="☑ Yes",A493,"")</x:f>
      </x:c>
      <x:c r="F493" s="89" t="str">
        <x:f>IF(B493="","",COUNTIF($B$2:$B$500,"&lt;"&amp;B493)+COUNTIF($B$2:B493,B493))</x:f>
      </x:c>
      <x:c r="G493" s="89" t="str">
        <x:f>IFERROR(INDEX($B$2:$B$500,MATCH(ROWS($G$2:G493),$F$2:$F$500,0)),"")</x:f>
      </x:c>
      <x:c r="H493" s="90" t="str">
        <x:f>IFERROR(INDEX($A$2:$A$500,MATCH(G493,$B$2:$B$500,0)),"")</x:f>
      </x:c>
    </x:row>
    <x:row r="494" ht="22" customHeight="1">
      <x:c r="A494" s="45"/>
      <x:c r="B494" s="42"/>
      <x:c r="C494" s="46"/>
      <x:c r="D494" s="4"/>
      <x:c r="E494" s="47" t="str">
        <x:f>IF(C494="☑ Yes",A494,"")</x:f>
      </x:c>
      <x:c r="F494" s="89" t="str">
        <x:f>IF(B494="","",COUNTIF($B$2:$B$500,"&lt;"&amp;B494)+COUNTIF($B$2:B494,B494))</x:f>
      </x:c>
      <x:c r="G494" s="89" t="str">
        <x:f>IFERROR(INDEX($B$2:$B$500,MATCH(ROWS($G$2:G494),$F$2:$F$500,0)),"")</x:f>
      </x:c>
      <x:c r="H494" s="90" t="str">
        <x:f>IFERROR(INDEX($A$2:$A$500,MATCH(G494,$B$2:$B$500,0)),"")</x:f>
      </x:c>
    </x:row>
    <x:row r="495" ht="22" customHeight="1">
      <x:c r="A495" s="45"/>
      <x:c r="B495" s="42"/>
      <x:c r="C495" s="46"/>
      <x:c r="D495" s="4"/>
      <x:c r="E495" s="47" t="str">
        <x:f>IF(C495="☑ Yes",A495,"")</x:f>
      </x:c>
      <x:c r="F495" s="89" t="str">
        <x:f>IF(B495="","",COUNTIF($B$2:$B$500,"&lt;"&amp;B495)+COUNTIF($B$2:B495,B495))</x:f>
      </x:c>
      <x:c r="G495" s="89" t="str">
        <x:f>IFERROR(INDEX($B$2:$B$500,MATCH(ROWS($G$2:G495),$F$2:$F$500,0)),"")</x:f>
      </x:c>
      <x:c r="H495" s="90" t="str">
        <x:f>IFERROR(INDEX($A$2:$A$500,MATCH(G495,$B$2:$B$500,0)),"")</x:f>
      </x:c>
    </x:row>
    <x:row r="496" ht="22" customHeight="1">
      <x:c r="A496" s="45"/>
      <x:c r="B496" s="42"/>
      <x:c r="C496" s="46"/>
      <x:c r="D496" s="4"/>
      <x:c r="E496" s="47" t="str">
        <x:f>IF(C496="☑ Yes",A496,"")</x:f>
      </x:c>
      <x:c r="F496" s="89" t="str">
        <x:f>IF(B496="","",COUNTIF($B$2:$B$500,"&lt;"&amp;B496)+COUNTIF($B$2:B496,B496))</x:f>
      </x:c>
      <x:c r="G496" s="89" t="str">
        <x:f>IFERROR(INDEX($B$2:$B$500,MATCH(ROWS($G$2:G496),$F$2:$F$500,0)),"")</x:f>
      </x:c>
      <x:c r="H496" s="90" t="str">
        <x:f>IFERROR(INDEX($A$2:$A$500,MATCH(G496,$B$2:$B$500,0)),"")</x:f>
      </x:c>
    </x:row>
    <x:row r="497" ht="22" customHeight="1">
      <x:c r="A497" s="45"/>
      <x:c r="B497" s="42"/>
      <x:c r="C497" s="46"/>
      <x:c r="D497" s="4"/>
      <x:c r="E497" s="47" t="str">
        <x:f>IF(C497="☑ Yes",A497,"")</x:f>
      </x:c>
      <x:c r="F497" s="89" t="str">
        <x:f>IF(B497="","",COUNTIF($B$2:$B$500,"&lt;"&amp;B497)+COUNTIF($B$2:B497,B497))</x:f>
      </x:c>
      <x:c r="G497" s="89" t="str">
        <x:f>IFERROR(INDEX($B$2:$B$500,MATCH(ROWS($G$2:G497),$F$2:$F$500,0)),"")</x:f>
      </x:c>
      <x:c r="H497" s="90" t="str">
        <x:f>IFERROR(INDEX($A$2:$A$500,MATCH(G497,$B$2:$B$500,0)),"")</x:f>
      </x:c>
    </x:row>
    <x:row r="498" ht="22" customHeight="1">
      <x:c r="A498" s="45"/>
      <x:c r="B498" s="42"/>
      <x:c r="C498" s="46"/>
      <x:c r="D498" s="4"/>
      <x:c r="E498" s="47" t="str">
        <x:f>IF(C498="☑ Yes",A498,"")</x:f>
      </x:c>
      <x:c r="F498" s="89" t="str">
        <x:f>IF(B498="","",COUNTIF($B$2:$B$500,"&lt;"&amp;B498)+COUNTIF($B$2:B498,B498))</x:f>
      </x:c>
      <x:c r="G498" s="89" t="str">
        <x:f>IFERROR(INDEX($B$2:$B$500,MATCH(ROWS($G$2:G498),$F$2:$F$500,0)),"")</x:f>
      </x:c>
      <x:c r="H498" s="90" t="str">
        <x:f>IFERROR(INDEX($A$2:$A$500,MATCH(G498,$B$2:$B$500,0)),"")</x:f>
      </x:c>
    </x:row>
    <x:row r="499" ht="22" customHeight="1">
      <x:c r="A499" s="45"/>
      <x:c r="B499" s="42"/>
      <x:c r="C499" s="46"/>
      <x:c r="D499" s="4"/>
      <x:c r="E499" s="47" t="str">
        <x:f>IF(C499="☑ Yes",A499,"")</x:f>
      </x:c>
      <x:c r="F499" s="89" t="str">
        <x:f>IF(B499="","",COUNTIF($B$2:$B$500,"&lt;"&amp;B499)+COUNTIF($B$2:B499,B499))</x:f>
      </x:c>
      <x:c r="G499" s="89" t="str">
        <x:f>IFERROR(INDEX($B$2:$B$500,MATCH(ROWS($G$2:G499),$F$2:$F$500,0)),"")</x:f>
      </x:c>
      <x:c r="H499" s="90" t="str">
        <x:f>IFERROR(INDEX($A$2:$A$500,MATCH(G499,$B$2:$B$500,0)),"")</x:f>
      </x:c>
    </x:row>
    <x:row r="500" ht="22" customHeight="1">
      <x:c r="A500" s="45"/>
      <x:c r="B500" s="42"/>
      <x:c r="C500" s="46"/>
      <x:c r="D500" s="4"/>
      <x:c r="E500" s="47" t="str">
        <x:f>IF(C500="☑ Yes",A500,"")</x:f>
      </x:c>
      <x:c r="F500" s="89" t="str">
        <x:f>IF(B500="","",COUNTIF($B$2:$B$500,"&lt;"&amp;B500)+COUNTIF($B$2:B500,B500))</x:f>
      </x:c>
      <x:c r="G500" s="89" t="str">
        <x:f>IFERROR(INDEX($B$2:$B$500,MATCH(ROWS($G$2:G500),$F$2:$F$500,0)),"")</x:f>
      </x:c>
      <x:c r="H500" s="90" t="str">
        <x:f>IFERROR(INDEX($A$2:$A$500,MATCH(G500,$B$2:$B$500,0)),"")</x:f>
      </x:c>
    </x:row>
  </x:sheetData>
  <x:conditionalFormatting sqref="A2:A500">
    <x:cfRule type="expression" dxfId="0" priority="1">
      <x:formula>AND(A2&lt;&gt;"",LEN(A2)&lt;&gt;4)</x:formula>
    </x:cfRule>
    <x:cfRule type="expression" dxfId="1" priority="2">
      <x:formula>AND(A2&lt;&gt;"",COUNTIF($A$2:$A$500,A2)&gt;1)</x:formula>
    </x:cfRule>
  </x:conditionalFormatting>
  <x:dataValidations count="1">
    <x:dataValidation type="list" sqref="C2:C500">
      <x:formula1>"☐ No,☑ 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49b933ba87489f"/>
  </x:tableParts>
</x:worksheet>
</file>

<file path=xl/worksheets/sheet3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17" hidden="0" customWidth="1"/>
    <x:col min="3" max="3" width="17" hidden="0" customWidth="1"/>
    <x:col min="4" max="4" width="32" hidden="0" customWidth="1"/>
    <x:col min="5" max="5" width="25" hidden="0" customWidth="1"/>
    <x:col min="6" max="6" width="16" hidden="0" customWidth="1"/>
    <x:col min="7" max="7" width="42" hidden="0" customWidth="1"/>
  </x:cols>
  <x:sheetData>
    <x:row r="1" ht="26" customHeight="1">
      <x:c r="A1" s="11" t="str">
        <x:v>Employee Name</x:v>
      </x:c>
      <x:c r="B1" s="71" t="str">
        <x:v>Employee ID</x:v>
      </x:c>
      <x:c r="C1" s="71" t="str">
        <x:v>Manager ID</x:v>
      </x:c>
      <x:c r="D1" s="71" t="str">
        <x:v>Manager Name</x:v>
      </x:c>
      <x:c r="E1" s="12" t="str">
        <x:v>Role Type</x:v>
      </x:c>
      <x:c r="F1" s="101" t="str">
        <x:v>PCN</x:v>
      </x:c>
      <x:c r="G1" s="102" t="str">
        <x:v>Explanation</x:v>
      </x:c>
    </x:row>
    <x:row r="2" ht="22" customHeight="1">
      <x:c r="A2" s="92" t="str"/>
      <x:c r="B2" s="94" t="str">
        <x:f>IFERROR(INDEX(Employees!$A$2:$A$500,MATCH(A2,Employees!$B$2:$B$500,0)),"")</x:f>
      </x:c>
      <x:c r="C2" s="45" t="str"/>
      <x:c r="D2" s="43" t="str">
        <x:f>IFERROR(VLOOKUP(C2,Employees!$A$2:$B$500,2,FALSE),"")</x:f>
      </x:c>
      <x:c r="E2" s="42" t="str"/>
      <x:c r="F2" s="105"/>
      <x:c r="G2" s="106"/>
    </x:row>
    <x:row r="3" ht="22" customHeight="1">
      <x:c r="A3" s="92" t="str"/>
      <x:c r="B3" s="94" t="str">
        <x:f>IFERROR(INDEX(Employees!$A$2:$A$500,MATCH(A3,Employees!$B$2:$B$500,0)),"")</x:f>
      </x:c>
      <x:c r="C3" s="45"/>
      <x:c r="D3" s="43" t="str">
        <x:f>IFERROR(VLOOKUP(C3,Employees!$A$2:$B$500,2,FALSE),"")</x:f>
      </x:c>
      <x:c r="E3" s="42"/>
      <x:c r="F3" s="105"/>
      <x:c r="G3" s="106"/>
    </x:row>
    <x:row r="4" ht="22" customHeight="1">
      <x:c r="A4" s="92" t="str"/>
      <x:c r="B4" s="94" t="str">
        <x:f>IFERROR(INDEX(Employees!$A$2:$A$500,MATCH(A4,Employees!$B$2:$B$500,0)),"")</x:f>
      </x:c>
      <x:c r="C4" s="45"/>
      <x:c r="D4" s="43" t="str">
        <x:f>IFERROR(VLOOKUP(C4,Employees!$A$2:$B$500,2,FALSE),"")</x:f>
      </x:c>
      <x:c r="E4" s="42"/>
      <x:c r="F4" s="105"/>
      <x:c r="G4" s="106"/>
    </x:row>
    <x:row r="5" ht="22" customHeight="1">
      <x:c r="A5" s="92" t="str"/>
      <x:c r="B5" s="94" t="str">
        <x:f>IFERROR(INDEX(Employees!$A$2:$A$500,MATCH(A5,Employees!$B$2:$B$500,0)),"")</x:f>
      </x:c>
      <x:c r="C5" s="45"/>
      <x:c r="D5" s="43" t="str">
        <x:f>IFERROR(VLOOKUP(C5,Employees!$A$2:$B$500,2,FALSE),"")</x:f>
      </x:c>
      <x:c r="E5" s="42"/>
      <x:c r="F5" s="105"/>
      <x:c r="G5" s="106"/>
    </x:row>
    <x:row r="6" ht="22" customHeight="1">
      <x:c r="A6" s="92" t="str"/>
      <x:c r="B6" s="94" t="str">
        <x:f>IFERROR(INDEX(Employees!$A$2:$A$500,MATCH(A6,Employees!$B$2:$B$500,0)),"")</x:f>
      </x:c>
      <x:c r="C6" s="45"/>
      <x:c r="D6" s="43" t="str">
        <x:f>IFERROR(VLOOKUP(C6,Employees!$A$2:$B$500,2,FALSE),"")</x:f>
      </x:c>
      <x:c r="E6" s="42"/>
      <x:c r="F6" s="105"/>
      <x:c r="G6" s="106"/>
    </x:row>
    <x:row r="7" ht="22" customHeight="1">
      <x:c r="A7" s="92" t="str"/>
      <x:c r="B7" s="94" t="str">
        <x:f>IFERROR(INDEX(Employees!$A$2:$A$500,MATCH(A7,Employees!$B$2:$B$500,0)),"")</x:f>
      </x:c>
      <x:c r="C7" s="45"/>
      <x:c r="D7" s="43" t="str">
        <x:f>IFERROR(VLOOKUP(C7,Employees!$A$2:$B$500,2,FALSE),"")</x:f>
      </x:c>
      <x:c r="E7" s="42"/>
      <x:c r="F7" s="105"/>
      <x:c r="G7" s="106"/>
    </x:row>
    <x:row r="8" ht="22" customHeight="1">
      <x:c r="A8" s="92" t="str"/>
      <x:c r="B8" s="94" t="str">
        <x:f>IFERROR(INDEX(Employees!$A$2:$A$500,MATCH(A8,Employees!$B$2:$B$500,0)),"")</x:f>
      </x:c>
      <x:c r="C8" s="45"/>
      <x:c r="D8" s="43" t="str">
        <x:f>IFERROR(VLOOKUP(C8,Employees!$A$2:$B$500,2,FALSE),"")</x:f>
      </x:c>
      <x:c r="E8" s="42"/>
      <x:c r="F8" s="105"/>
      <x:c r="G8" s="106"/>
    </x:row>
    <x:row r="9" ht="22" customHeight="1">
      <x:c r="A9" s="92" t="str"/>
      <x:c r="B9" s="94" t="str">
        <x:f>IFERROR(INDEX(Employees!$A$2:$A$500,MATCH(A9,Employees!$B$2:$B$500,0)),"")</x:f>
      </x:c>
      <x:c r="C9" s="45"/>
      <x:c r="D9" s="43" t="str">
        <x:f>IFERROR(VLOOKUP(C9,Employees!$A$2:$B$500,2,FALSE),"")</x:f>
      </x:c>
      <x:c r="E9" s="42"/>
      <x:c r="F9" s="105"/>
      <x:c r="G9" s="106"/>
    </x:row>
    <x:row r="10" ht="22" customHeight="1">
      <x:c r="A10" s="92" t="str"/>
      <x:c r="B10" s="94" t="str">
        <x:f>IFERROR(INDEX(Employees!$A$2:$A$500,MATCH(A10,Employees!$B$2:$B$500,0)),"")</x:f>
      </x:c>
      <x:c r="C10" s="45"/>
      <x:c r="D10" s="43" t="str">
        <x:f>IFERROR(VLOOKUP(C10,Employees!$A$2:$B$500,2,FALSE),"")</x:f>
      </x:c>
      <x:c r="E10" s="42"/>
      <x:c r="F10" s="105"/>
      <x:c r="G10" s="106"/>
    </x:row>
    <x:row r="11" ht="22" customHeight="1">
      <x:c r="A11" s="92" t="str"/>
      <x:c r="B11" s="94" t="str">
        <x:f>IFERROR(INDEX(Employees!$A$2:$A$500,MATCH(A11,Employees!$B$2:$B$500,0)),"")</x:f>
      </x:c>
      <x:c r="C11" s="45"/>
      <x:c r="D11" s="43" t="str">
        <x:f>IFERROR(VLOOKUP(C11,Employees!$A$2:$B$500,2,FALSE),"")</x:f>
      </x:c>
      <x:c r="E11" s="42"/>
      <x:c r="F11" s="105"/>
      <x:c r="G11" s="106"/>
    </x:row>
    <x:row r="12" ht="22" customHeight="1">
      <x:c r="A12" s="92" t="str"/>
      <x:c r="B12" s="94" t="str">
        <x:f>IFERROR(INDEX(Employees!$A$2:$A$500,MATCH(A12,Employees!$B$2:$B$500,0)),"")</x:f>
      </x:c>
      <x:c r="C12" s="45"/>
      <x:c r="D12" s="43" t="str">
        <x:f>IFERROR(VLOOKUP(C12,Employees!$A$2:$B$500,2,FALSE),"")</x:f>
      </x:c>
      <x:c r="E12" s="42"/>
      <x:c r="F12" s="105"/>
      <x:c r="G12" s="106"/>
    </x:row>
    <x:row r="13" ht="22" customHeight="1">
      <x:c r="A13" s="92" t="str"/>
      <x:c r="B13" s="94" t="str">
        <x:f>IFERROR(INDEX(Employees!$A$2:$A$500,MATCH(A13,Employees!$B$2:$B$500,0)),"")</x:f>
      </x:c>
      <x:c r="C13" s="45"/>
      <x:c r="D13" s="43" t="str">
        <x:f>IFERROR(VLOOKUP(C13,Employees!$A$2:$B$500,2,FALSE),"")</x:f>
      </x:c>
      <x:c r="E13" s="42"/>
      <x:c r="F13" s="105"/>
      <x:c r="G13" s="106"/>
    </x:row>
    <x:row r="14" ht="22" customHeight="1">
      <x:c r="A14" s="92" t="str"/>
      <x:c r="B14" s="94" t="str">
        <x:f>IFERROR(INDEX(Employees!$A$2:$A$500,MATCH(A14,Employees!$B$2:$B$500,0)),"")</x:f>
      </x:c>
      <x:c r="C14" s="45"/>
      <x:c r="D14" s="43" t="str">
        <x:f>IFERROR(VLOOKUP(C14,Employees!$A$2:$B$500,2,FALSE),"")</x:f>
      </x:c>
      <x:c r="E14" s="42"/>
      <x:c r="F14" s="105"/>
      <x:c r="G14" s="106"/>
    </x:row>
    <x:row r="15" ht="22" customHeight="1">
      <x:c r="A15" s="92" t="str"/>
      <x:c r="B15" s="94" t="str">
        <x:f>IFERROR(INDEX(Employees!$A$2:$A$500,MATCH(A15,Employees!$B$2:$B$500,0)),"")</x:f>
      </x:c>
      <x:c r="C15" s="45"/>
      <x:c r="D15" s="43" t="str">
        <x:f>IFERROR(VLOOKUP(C15,Employees!$A$2:$B$500,2,FALSE),"")</x:f>
      </x:c>
      <x:c r="E15" s="42"/>
      <x:c r="F15" s="105"/>
      <x:c r="G15" s="106"/>
    </x:row>
    <x:row r="16" ht="22" customHeight="1">
      <x:c r="A16" s="92" t="str"/>
      <x:c r="B16" s="94" t="str">
        <x:f>IFERROR(INDEX(Employees!$A$2:$A$500,MATCH(A16,Employees!$B$2:$B$500,0)),"")</x:f>
      </x:c>
      <x:c r="C16" s="45"/>
      <x:c r="D16" s="43" t="str">
        <x:f>IFERROR(VLOOKUP(C16,Employees!$A$2:$B$500,2,FALSE),"")</x:f>
      </x:c>
      <x:c r="E16" s="42"/>
      <x:c r="F16" s="105"/>
      <x:c r="G16" s="106"/>
    </x:row>
    <x:row r="17" ht="22" customHeight="1">
      <x:c r="A17" s="92" t="str"/>
      <x:c r="B17" s="94" t="str">
        <x:f>IFERROR(INDEX(Employees!$A$2:$A$500,MATCH(A17,Employees!$B$2:$B$500,0)),"")</x:f>
      </x:c>
      <x:c r="C17" s="45"/>
      <x:c r="D17" s="43" t="str">
        <x:f>IFERROR(VLOOKUP(C17,Employees!$A$2:$B$500,2,FALSE),"")</x:f>
      </x:c>
      <x:c r="E17" s="42"/>
      <x:c r="F17" s="105"/>
      <x:c r="G17" s="106"/>
    </x:row>
    <x:row r="18" ht="22" customHeight="1">
      <x:c r="A18" s="92" t="str"/>
      <x:c r="B18" s="94" t="str">
        <x:f>IFERROR(INDEX(Employees!$A$2:$A$500,MATCH(A18,Employees!$B$2:$B$500,0)),"")</x:f>
      </x:c>
      <x:c r="C18" s="45"/>
      <x:c r="D18" s="43" t="str">
        <x:f>IFERROR(VLOOKUP(C18,Employees!$A$2:$B$500,2,FALSE),"")</x:f>
      </x:c>
      <x:c r="E18" s="42"/>
      <x:c r="F18" s="105"/>
      <x:c r="G18" s="106"/>
    </x:row>
    <x:row r="19" ht="22" customHeight="1">
      <x:c r="A19" s="92" t="str"/>
      <x:c r="B19" s="94" t="str">
        <x:f>IFERROR(INDEX(Employees!$A$2:$A$500,MATCH(A19,Employees!$B$2:$B$500,0)),"")</x:f>
      </x:c>
      <x:c r="C19" s="45"/>
      <x:c r="D19" s="43" t="str">
        <x:f>IFERROR(VLOOKUP(C19,Employees!$A$2:$B$500,2,FALSE),"")</x:f>
      </x:c>
      <x:c r="E19" s="42"/>
      <x:c r="F19" s="105"/>
      <x:c r="G19" s="106"/>
    </x:row>
    <x:row r="20" ht="22" customHeight="1">
      <x:c r="A20" s="92" t="str"/>
      <x:c r="B20" s="94" t="str">
        <x:f>IFERROR(INDEX(Employees!$A$2:$A$500,MATCH(A20,Employees!$B$2:$B$500,0)),"")</x:f>
      </x:c>
      <x:c r="C20" s="45"/>
      <x:c r="D20" s="43" t="str">
        <x:f>IFERROR(VLOOKUP(C20,Employees!$A$2:$B$500,2,FALSE),"")</x:f>
      </x:c>
      <x:c r="E20" s="42"/>
      <x:c r="F20" s="105"/>
      <x:c r="G20" s="106"/>
    </x:row>
    <x:row r="21" ht="22" customHeight="1">
      <x:c r="A21" s="92" t="str"/>
      <x:c r="B21" s="94" t="str">
        <x:f>IFERROR(INDEX(Employees!$A$2:$A$500,MATCH(A21,Employees!$B$2:$B$500,0)),"")</x:f>
      </x:c>
      <x:c r="C21" s="45"/>
      <x:c r="D21" s="43" t="str">
        <x:f>IFERROR(VLOOKUP(C21,Employees!$A$2:$B$500,2,FALSE),"")</x:f>
      </x:c>
      <x:c r="E21" s="42"/>
      <x:c r="F21" s="105"/>
      <x:c r="G21" s="106"/>
    </x:row>
    <x:row r="22" ht="22" customHeight="1">
      <x:c r="A22" s="92" t="str"/>
      <x:c r="B22" s="94" t="str">
        <x:f>IFERROR(INDEX(Employees!$A$2:$A$500,MATCH(A22,Employees!$B$2:$B$500,0)),"")</x:f>
      </x:c>
      <x:c r="C22" s="45"/>
      <x:c r="D22" s="43" t="str">
        <x:f>IFERROR(VLOOKUP(C22,Employees!$A$2:$B$500,2,FALSE),"")</x:f>
      </x:c>
      <x:c r="E22" s="42"/>
      <x:c r="F22" s="105"/>
      <x:c r="G22" s="106"/>
    </x:row>
    <x:row r="23" ht="22" customHeight="1">
      <x:c r="A23" s="92" t="str"/>
      <x:c r="B23" s="94" t="str">
        <x:f>IFERROR(INDEX(Employees!$A$2:$A$500,MATCH(A23,Employees!$B$2:$B$500,0)),"")</x:f>
      </x:c>
      <x:c r="C23" s="45"/>
      <x:c r="D23" s="43" t="str">
        <x:f>IFERROR(VLOOKUP(C23,Employees!$A$2:$B$500,2,FALSE),"")</x:f>
      </x:c>
      <x:c r="E23" s="42"/>
      <x:c r="F23" s="105"/>
      <x:c r="G23" s="106"/>
    </x:row>
    <x:row r="24" ht="22" customHeight="1">
      <x:c r="A24" s="92" t="str"/>
      <x:c r="B24" s="94" t="str">
        <x:f>IFERROR(INDEX(Employees!$A$2:$A$500,MATCH(A24,Employees!$B$2:$B$500,0)),"")</x:f>
      </x:c>
      <x:c r="C24" s="45"/>
      <x:c r="D24" s="43" t="str">
        <x:f>IFERROR(VLOOKUP(C24,Employees!$A$2:$B$500,2,FALSE),"")</x:f>
      </x:c>
      <x:c r="E24" s="42"/>
      <x:c r="F24" s="105"/>
      <x:c r="G24" s="106"/>
    </x:row>
    <x:row r="25" ht="22" customHeight="1">
      <x:c r="A25" s="92" t="str"/>
      <x:c r="B25" s="94" t="str">
        <x:f>IFERROR(INDEX(Employees!$A$2:$A$500,MATCH(A25,Employees!$B$2:$B$500,0)),"")</x:f>
      </x:c>
      <x:c r="C25" s="45"/>
      <x:c r="D25" s="43" t="str">
        <x:f>IFERROR(VLOOKUP(C25,Employees!$A$2:$B$500,2,FALSE),"")</x:f>
      </x:c>
      <x:c r="E25" s="42"/>
      <x:c r="F25" s="105"/>
      <x:c r="G25" s="106"/>
    </x:row>
    <x:row r="26" ht="22" customHeight="1">
      <x:c r="A26" s="92" t="str"/>
      <x:c r="B26" s="94" t="str">
        <x:f>IFERROR(INDEX(Employees!$A$2:$A$500,MATCH(A26,Employees!$B$2:$B$500,0)),"")</x:f>
      </x:c>
      <x:c r="C26" s="45"/>
      <x:c r="D26" s="43" t="str">
        <x:f>IFERROR(VLOOKUP(C26,Employees!$A$2:$B$500,2,FALSE),"")</x:f>
      </x:c>
      <x:c r="E26" s="42"/>
      <x:c r="F26" s="105"/>
      <x:c r="G26" s="106"/>
    </x:row>
    <x:row r="27" ht="22" customHeight="1">
      <x:c r="A27" s="92" t="str"/>
      <x:c r="B27" s="94" t="str">
        <x:f>IFERROR(INDEX(Employees!$A$2:$A$500,MATCH(A27,Employees!$B$2:$B$500,0)),"")</x:f>
      </x:c>
      <x:c r="C27" s="45"/>
      <x:c r="D27" s="43" t="str">
        <x:f>IFERROR(VLOOKUP(C27,Employees!$A$2:$B$500,2,FALSE),"")</x:f>
      </x:c>
      <x:c r="E27" s="42"/>
      <x:c r="F27" s="105"/>
      <x:c r="G27" s="106"/>
    </x:row>
    <x:row r="28" ht="22" customHeight="1">
      <x:c r="A28" s="92" t="str"/>
      <x:c r="B28" s="94" t="str">
        <x:f>IFERROR(INDEX(Employees!$A$2:$A$500,MATCH(A28,Employees!$B$2:$B$500,0)),"")</x:f>
      </x:c>
      <x:c r="C28" s="45"/>
      <x:c r="D28" s="43" t="str">
        <x:f>IFERROR(VLOOKUP(C28,Employees!$A$2:$B$500,2,FALSE),"")</x:f>
      </x:c>
      <x:c r="E28" s="42"/>
      <x:c r="F28" s="105"/>
      <x:c r="G28" s="106"/>
    </x:row>
    <x:row r="29" ht="22" customHeight="1">
      <x:c r="A29" s="92" t="str"/>
      <x:c r="B29" s="94" t="str">
        <x:f>IFERROR(INDEX(Employees!$A$2:$A$500,MATCH(A29,Employees!$B$2:$B$500,0)),"")</x:f>
      </x:c>
      <x:c r="C29" s="45"/>
      <x:c r="D29" s="43" t="str">
        <x:f>IFERROR(VLOOKUP(C29,Employees!$A$2:$B$500,2,FALSE),"")</x:f>
      </x:c>
      <x:c r="E29" s="42"/>
      <x:c r="F29" s="105"/>
      <x:c r="G29" s="106"/>
    </x:row>
    <x:row r="30" ht="22" customHeight="1">
      <x:c r="A30" s="92" t="str"/>
      <x:c r="B30" s="94" t="str">
        <x:f>IFERROR(INDEX(Employees!$A$2:$A$500,MATCH(A30,Employees!$B$2:$B$500,0)),"")</x:f>
      </x:c>
      <x:c r="C30" s="45"/>
      <x:c r="D30" s="43" t="str">
        <x:f>IFERROR(VLOOKUP(C30,Employees!$A$2:$B$500,2,FALSE),"")</x:f>
      </x:c>
      <x:c r="E30" s="42"/>
      <x:c r="F30" s="105"/>
      <x:c r="G30" s="106"/>
    </x:row>
    <x:row r="31" ht="22" customHeight="1">
      <x:c r="A31" s="92" t="str"/>
      <x:c r="B31" s="94" t="str">
        <x:f>IFERROR(INDEX(Employees!$A$2:$A$500,MATCH(A31,Employees!$B$2:$B$500,0)),"")</x:f>
      </x:c>
      <x:c r="C31" s="45"/>
      <x:c r="D31" s="43" t="str">
        <x:f>IFERROR(VLOOKUP(C31,Employees!$A$2:$B$500,2,FALSE),"")</x:f>
      </x:c>
      <x:c r="E31" s="42"/>
      <x:c r="F31" s="105"/>
      <x:c r="G31" s="106"/>
    </x:row>
    <x:row r="32" ht="22" customHeight="1">
      <x:c r="A32" s="92" t="str"/>
      <x:c r="B32" s="94" t="str">
        <x:f>IFERROR(INDEX(Employees!$A$2:$A$500,MATCH(A32,Employees!$B$2:$B$500,0)),"")</x:f>
      </x:c>
      <x:c r="C32" s="45"/>
      <x:c r="D32" s="43" t="str">
        <x:f>IFERROR(VLOOKUP(C32,Employees!$A$2:$B$500,2,FALSE),"")</x:f>
      </x:c>
      <x:c r="E32" s="42"/>
      <x:c r="F32" s="105"/>
      <x:c r="G32" s="106"/>
    </x:row>
    <x:row r="33" ht="22" customHeight="1">
      <x:c r="A33" s="92" t="str"/>
      <x:c r="B33" s="94" t="str">
        <x:f>IFERROR(INDEX(Employees!$A$2:$A$500,MATCH(A33,Employees!$B$2:$B$500,0)),"")</x:f>
      </x:c>
      <x:c r="C33" s="45"/>
      <x:c r="D33" s="43" t="str">
        <x:f>IFERROR(VLOOKUP(C33,Employees!$A$2:$B$500,2,FALSE),"")</x:f>
      </x:c>
      <x:c r="E33" s="42"/>
      <x:c r="F33" s="105"/>
      <x:c r="G33" s="106"/>
    </x:row>
    <x:row r="34" ht="22" customHeight="1">
      <x:c r="A34" s="92" t="str"/>
      <x:c r="B34" s="94" t="str">
        <x:f>IFERROR(INDEX(Employees!$A$2:$A$500,MATCH(A34,Employees!$B$2:$B$500,0)),"")</x:f>
      </x:c>
      <x:c r="C34" s="45"/>
      <x:c r="D34" s="43" t="str">
        <x:f>IFERROR(VLOOKUP(C34,Employees!$A$2:$B$500,2,FALSE),"")</x:f>
      </x:c>
      <x:c r="E34" s="42"/>
      <x:c r="F34" s="105"/>
      <x:c r="G34" s="106"/>
    </x:row>
    <x:row r="35" ht="22" customHeight="1">
      <x:c r="A35" s="92" t="str"/>
      <x:c r="B35" s="94" t="str">
        <x:f>IFERROR(INDEX(Employees!$A$2:$A$500,MATCH(A35,Employees!$B$2:$B$500,0)),"")</x:f>
      </x:c>
      <x:c r="C35" s="45"/>
      <x:c r="D35" s="43" t="str">
        <x:f>IFERROR(VLOOKUP(C35,Employees!$A$2:$B$500,2,FALSE),"")</x:f>
      </x:c>
      <x:c r="E35" s="42"/>
      <x:c r="F35" s="105"/>
      <x:c r="G35" s="106"/>
    </x:row>
    <x:row r="36" ht="22" customHeight="1">
      <x:c r="A36" s="92" t="str"/>
      <x:c r="B36" s="94" t="str">
        <x:f>IFERROR(INDEX(Employees!$A$2:$A$500,MATCH(A36,Employees!$B$2:$B$500,0)),"")</x:f>
      </x:c>
      <x:c r="C36" s="45"/>
      <x:c r="D36" s="43" t="str">
        <x:f>IFERROR(VLOOKUP(C36,Employees!$A$2:$B$500,2,FALSE),"")</x:f>
      </x:c>
      <x:c r="E36" s="42"/>
      <x:c r="F36" s="105"/>
      <x:c r="G36" s="106"/>
    </x:row>
    <x:row r="37" ht="22" customHeight="1">
      <x:c r="A37" s="92" t="str"/>
      <x:c r="B37" s="94" t="str">
        <x:f>IFERROR(INDEX(Employees!$A$2:$A$500,MATCH(A37,Employees!$B$2:$B$500,0)),"")</x:f>
      </x:c>
      <x:c r="C37" s="45"/>
      <x:c r="D37" s="43" t="str">
        <x:f>IFERROR(VLOOKUP(C37,Employees!$A$2:$B$500,2,FALSE),"")</x:f>
      </x:c>
      <x:c r="E37" s="42"/>
      <x:c r="F37" s="105"/>
      <x:c r="G37" s="106"/>
    </x:row>
    <x:row r="38" ht="22" customHeight="1">
      <x:c r="A38" s="92" t="str"/>
      <x:c r="B38" s="94" t="str">
        <x:f>IFERROR(INDEX(Employees!$A$2:$A$500,MATCH(A38,Employees!$B$2:$B$500,0)),"")</x:f>
      </x:c>
      <x:c r="C38" s="45"/>
      <x:c r="D38" s="43" t="str">
        <x:f>IFERROR(VLOOKUP(C38,Employees!$A$2:$B$500,2,FALSE),"")</x:f>
      </x:c>
      <x:c r="E38" s="42"/>
      <x:c r="F38" s="105"/>
      <x:c r="G38" s="106"/>
    </x:row>
    <x:row r="39" ht="22" customHeight="1">
      <x:c r="A39" s="92" t="str"/>
      <x:c r="B39" s="94" t="str">
        <x:f>IFERROR(INDEX(Employees!$A$2:$A$500,MATCH(A39,Employees!$B$2:$B$500,0)),"")</x:f>
      </x:c>
      <x:c r="C39" s="45"/>
      <x:c r="D39" s="43" t="str">
        <x:f>IFERROR(VLOOKUP(C39,Employees!$A$2:$B$500,2,FALSE),"")</x:f>
      </x:c>
      <x:c r="E39" s="42"/>
      <x:c r="F39" s="105"/>
      <x:c r="G39" s="106"/>
    </x:row>
    <x:row r="40" ht="22" customHeight="1">
      <x:c r="A40" s="92" t="str"/>
      <x:c r="B40" s="94" t="str">
        <x:f>IFERROR(INDEX(Employees!$A$2:$A$500,MATCH(A40,Employees!$B$2:$B$500,0)),"")</x:f>
      </x:c>
      <x:c r="C40" s="45"/>
      <x:c r="D40" s="43" t="str">
        <x:f>IFERROR(VLOOKUP(C40,Employees!$A$2:$B$500,2,FALSE),"")</x:f>
      </x:c>
      <x:c r="E40" s="42"/>
      <x:c r="F40" s="105"/>
      <x:c r="G40" s="106"/>
    </x:row>
    <x:row r="41" ht="22" customHeight="1">
      <x:c r="A41" s="92" t="str"/>
      <x:c r="B41" s="94" t="str">
        <x:f>IFERROR(INDEX(Employees!$A$2:$A$500,MATCH(A41,Employees!$B$2:$B$500,0)),"")</x:f>
      </x:c>
      <x:c r="C41" s="45"/>
      <x:c r="D41" s="43" t="str">
        <x:f>IFERROR(VLOOKUP(C41,Employees!$A$2:$B$500,2,FALSE),"")</x:f>
      </x:c>
      <x:c r="E41" s="42"/>
      <x:c r="F41" s="105"/>
      <x:c r="G41" s="106"/>
    </x:row>
    <x:row r="42" ht="22" customHeight="1">
      <x:c r="A42" s="92" t="str"/>
      <x:c r="B42" s="94" t="str">
        <x:f>IFERROR(INDEX(Employees!$A$2:$A$500,MATCH(A42,Employees!$B$2:$B$500,0)),"")</x:f>
      </x:c>
      <x:c r="C42" s="45"/>
      <x:c r="D42" s="43" t="str">
        <x:f>IFERROR(VLOOKUP(C42,Employees!$A$2:$B$500,2,FALSE),"")</x:f>
      </x:c>
      <x:c r="E42" s="42"/>
      <x:c r="F42" s="105"/>
      <x:c r="G42" s="106"/>
    </x:row>
    <x:row r="43" ht="22" customHeight="1">
      <x:c r="A43" s="92" t="str"/>
      <x:c r="B43" s="94" t="str">
        <x:f>IFERROR(INDEX(Employees!$A$2:$A$500,MATCH(A43,Employees!$B$2:$B$500,0)),"")</x:f>
      </x:c>
      <x:c r="C43" s="45"/>
      <x:c r="D43" s="43" t="str">
        <x:f>IFERROR(VLOOKUP(C43,Employees!$A$2:$B$500,2,FALSE),"")</x:f>
      </x:c>
      <x:c r="E43" s="42"/>
      <x:c r="F43" s="105"/>
      <x:c r="G43" s="106"/>
    </x:row>
    <x:row r="44" ht="22" customHeight="1">
      <x:c r="A44" s="92" t="str"/>
      <x:c r="B44" s="94" t="str">
        <x:f>IFERROR(INDEX(Employees!$A$2:$A$500,MATCH(A44,Employees!$B$2:$B$500,0)),"")</x:f>
      </x:c>
      <x:c r="C44" s="45"/>
      <x:c r="D44" s="43" t="str">
        <x:f>IFERROR(VLOOKUP(C44,Employees!$A$2:$B$500,2,FALSE),"")</x:f>
      </x:c>
      <x:c r="E44" s="42"/>
      <x:c r="F44" s="105"/>
      <x:c r="G44" s="106"/>
    </x:row>
    <x:row r="45" ht="22" customHeight="1">
      <x:c r="A45" s="92" t="str"/>
      <x:c r="B45" s="94" t="str">
        <x:f>IFERROR(INDEX(Employees!$A$2:$A$500,MATCH(A45,Employees!$B$2:$B$500,0)),"")</x:f>
      </x:c>
      <x:c r="C45" s="45"/>
      <x:c r="D45" s="43" t="str">
        <x:f>IFERROR(VLOOKUP(C45,Employees!$A$2:$B$500,2,FALSE),"")</x:f>
      </x:c>
      <x:c r="E45" s="42"/>
      <x:c r="F45" s="105"/>
      <x:c r="G45" s="106"/>
    </x:row>
    <x:row r="46" ht="22" customHeight="1">
      <x:c r="A46" s="92" t="str"/>
      <x:c r="B46" s="94" t="str">
        <x:f>IFERROR(INDEX(Employees!$A$2:$A$500,MATCH(A46,Employees!$B$2:$B$500,0)),"")</x:f>
      </x:c>
      <x:c r="C46" s="45"/>
      <x:c r="D46" s="43" t="str">
        <x:f>IFERROR(VLOOKUP(C46,Employees!$A$2:$B$500,2,FALSE),"")</x:f>
      </x:c>
      <x:c r="E46" s="42"/>
      <x:c r="F46" s="105"/>
      <x:c r="G46" s="106"/>
    </x:row>
    <x:row r="47" ht="22" customHeight="1">
      <x:c r="A47" s="92" t="str"/>
      <x:c r="B47" s="94" t="str">
        <x:f>IFERROR(INDEX(Employees!$A$2:$A$500,MATCH(A47,Employees!$B$2:$B$500,0)),"")</x:f>
      </x:c>
      <x:c r="C47" s="45"/>
      <x:c r="D47" s="43" t="str">
        <x:f>IFERROR(VLOOKUP(C47,Employees!$A$2:$B$500,2,FALSE),"")</x:f>
      </x:c>
      <x:c r="E47" s="42"/>
      <x:c r="F47" s="105"/>
      <x:c r="G47" s="106"/>
    </x:row>
    <x:row r="48" ht="22" customHeight="1">
      <x:c r="A48" s="92" t="str"/>
      <x:c r="B48" s="94" t="str">
        <x:f>IFERROR(INDEX(Employees!$A$2:$A$500,MATCH(A48,Employees!$B$2:$B$500,0)),"")</x:f>
      </x:c>
      <x:c r="C48" s="45"/>
      <x:c r="D48" s="43" t="str">
        <x:f>IFERROR(VLOOKUP(C48,Employees!$A$2:$B$500,2,FALSE),"")</x:f>
      </x:c>
      <x:c r="E48" s="42"/>
      <x:c r="F48" s="105"/>
      <x:c r="G48" s="106"/>
    </x:row>
    <x:row r="49" ht="22" customHeight="1">
      <x:c r="A49" s="92" t="str"/>
      <x:c r="B49" s="94" t="str">
        <x:f>IFERROR(INDEX(Employees!$A$2:$A$500,MATCH(A49,Employees!$B$2:$B$500,0)),"")</x:f>
      </x:c>
      <x:c r="C49" s="45"/>
      <x:c r="D49" s="43" t="str">
        <x:f>IFERROR(VLOOKUP(C49,Employees!$A$2:$B$500,2,FALSE),"")</x:f>
      </x:c>
      <x:c r="E49" s="42"/>
      <x:c r="F49" s="105"/>
      <x:c r="G49" s="106"/>
    </x:row>
    <x:row r="50" ht="22" customHeight="1">
      <x:c r="A50" s="92" t="str"/>
      <x:c r="B50" s="94" t="str">
        <x:f>IFERROR(INDEX(Employees!$A$2:$A$500,MATCH(A50,Employees!$B$2:$B$500,0)),"")</x:f>
      </x:c>
      <x:c r="C50" s="45"/>
      <x:c r="D50" s="43" t="str">
        <x:f>IFERROR(VLOOKUP(C50,Employees!$A$2:$B$500,2,FALSE),"")</x:f>
      </x:c>
      <x:c r="E50" s="42"/>
      <x:c r="F50" s="105"/>
      <x:c r="G50" s="106"/>
    </x:row>
    <x:row r="51" ht="22" customHeight="1">
      <x:c r="A51" s="92" t="str"/>
      <x:c r="B51" s="94" t="str">
        <x:f>IFERROR(INDEX(Employees!$A$2:$A$500,MATCH(A51,Employees!$B$2:$B$500,0)),"")</x:f>
      </x:c>
      <x:c r="C51" s="45"/>
      <x:c r="D51" s="43" t="str">
        <x:f>IFERROR(VLOOKUP(C51,Employees!$A$2:$B$500,2,FALSE),"")</x:f>
      </x:c>
      <x:c r="E51" s="42"/>
      <x:c r="F51" s="105"/>
      <x:c r="G51" s="106"/>
    </x:row>
    <x:row r="52" ht="22" customHeight="1">
      <x:c r="A52" s="92" t="str"/>
      <x:c r="B52" s="94" t="str">
        <x:f>IFERROR(INDEX(Employees!$A$2:$A$500,MATCH(A52,Employees!$B$2:$B$500,0)),"")</x:f>
      </x:c>
      <x:c r="C52" s="45"/>
      <x:c r="D52" s="43" t="str">
        <x:f>IFERROR(VLOOKUP(C52,Employees!$A$2:$B$500,2,FALSE),"")</x:f>
      </x:c>
      <x:c r="E52" s="42"/>
      <x:c r="F52" s="105"/>
      <x:c r="G52" s="106"/>
    </x:row>
    <x:row r="53" ht="22" customHeight="1">
      <x:c r="A53" s="92" t="str"/>
      <x:c r="B53" s="94" t="str">
        <x:f>IFERROR(INDEX(Employees!$A$2:$A$500,MATCH(A53,Employees!$B$2:$B$500,0)),"")</x:f>
      </x:c>
      <x:c r="C53" s="45"/>
      <x:c r="D53" s="43" t="str">
        <x:f>IFERROR(VLOOKUP(C53,Employees!$A$2:$B$500,2,FALSE),"")</x:f>
      </x:c>
      <x:c r="E53" s="42"/>
      <x:c r="F53" s="105"/>
      <x:c r="G53" s="106"/>
    </x:row>
    <x:row r="54" ht="22" customHeight="1">
      <x:c r="A54" s="92" t="str"/>
      <x:c r="B54" s="94" t="str">
        <x:f>IFERROR(INDEX(Employees!$A$2:$A$500,MATCH(A54,Employees!$B$2:$B$500,0)),"")</x:f>
      </x:c>
      <x:c r="C54" s="45"/>
      <x:c r="D54" s="43" t="str">
        <x:f>IFERROR(VLOOKUP(C54,Employees!$A$2:$B$500,2,FALSE),"")</x:f>
      </x:c>
      <x:c r="E54" s="42"/>
      <x:c r="F54" s="105"/>
      <x:c r="G54" s="106"/>
    </x:row>
    <x:row r="55" ht="22" customHeight="1">
      <x:c r="A55" s="92" t="str"/>
      <x:c r="B55" s="94" t="str">
        <x:f>IFERROR(INDEX(Employees!$A$2:$A$500,MATCH(A55,Employees!$B$2:$B$500,0)),"")</x:f>
      </x:c>
      <x:c r="C55" s="45"/>
      <x:c r="D55" s="43" t="str">
        <x:f>IFERROR(VLOOKUP(C55,Employees!$A$2:$B$500,2,FALSE),"")</x:f>
      </x:c>
      <x:c r="E55" s="42"/>
      <x:c r="F55" s="105"/>
      <x:c r="G55" s="106"/>
    </x:row>
    <x:row r="56" ht="22" customHeight="1">
      <x:c r="A56" s="92" t="str"/>
      <x:c r="B56" s="94" t="str">
        <x:f>IFERROR(INDEX(Employees!$A$2:$A$500,MATCH(A56,Employees!$B$2:$B$500,0)),"")</x:f>
      </x:c>
      <x:c r="C56" s="45"/>
      <x:c r="D56" s="43" t="str">
        <x:f>IFERROR(VLOOKUP(C56,Employees!$A$2:$B$500,2,FALSE),"")</x:f>
      </x:c>
      <x:c r="E56" s="42"/>
      <x:c r="F56" s="105"/>
      <x:c r="G56" s="106"/>
    </x:row>
    <x:row r="57" ht="22" customHeight="1">
      <x:c r="A57" s="92" t="str"/>
      <x:c r="B57" s="94" t="str">
        <x:f>IFERROR(INDEX(Employees!$A$2:$A$500,MATCH(A57,Employees!$B$2:$B$500,0)),"")</x:f>
      </x:c>
      <x:c r="C57" s="45"/>
      <x:c r="D57" s="43" t="str">
        <x:f>IFERROR(VLOOKUP(C57,Employees!$A$2:$B$500,2,FALSE),"")</x:f>
      </x:c>
      <x:c r="E57" s="42"/>
      <x:c r="F57" s="105"/>
      <x:c r="G57" s="106"/>
    </x:row>
    <x:row r="58" ht="22" customHeight="1">
      <x:c r="A58" s="92" t="str"/>
      <x:c r="B58" s="94" t="str">
        <x:f>IFERROR(INDEX(Employees!$A$2:$A$500,MATCH(A58,Employees!$B$2:$B$500,0)),"")</x:f>
      </x:c>
      <x:c r="C58" s="45"/>
      <x:c r="D58" s="43" t="str">
        <x:f>IFERROR(VLOOKUP(C58,Employees!$A$2:$B$500,2,FALSE),"")</x:f>
      </x:c>
      <x:c r="E58" s="42"/>
      <x:c r="F58" s="105"/>
      <x:c r="G58" s="106"/>
    </x:row>
    <x:row r="59" ht="22" customHeight="1">
      <x:c r="A59" s="92" t="str"/>
      <x:c r="B59" s="94" t="str">
        <x:f>IFERROR(INDEX(Employees!$A$2:$A$500,MATCH(A59,Employees!$B$2:$B$500,0)),"")</x:f>
      </x:c>
      <x:c r="C59" s="45"/>
      <x:c r="D59" s="43" t="str">
        <x:f>IFERROR(VLOOKUP(C59,Employees!$A$2:$B$500,2,FALSE),"")</x:f>
      </x:c>
      <x:c r="E59" s="42"/>
      <x:c r="F59" s="105"/>
      <x:c r="G59" s="106"/>
    </x:row>
    <x:row r="60" ht="22" customHeight="1">
      <x:c r="A60" s="92" t="str"/>
      <x:c r="B60" s="94" t="str">
        <x:f>IFERROR(INDEX(Employees!$A$2:$A$500,MATCH(A60,Employees!$B$2:$B$500,0)),"")</x:f>
      </x:c>
      <x:c r="C60" s="45"/>
      <x:c r="D60" s="43" t="str">
        <x:f>IFERROR(VLOOKUP(C60,Employees!$A$2:$B$500,2,FALSE),"")</x:f>
      </x:c>
      <x:c r="E60" s="42"/>
      <x:c r="F60" s="105"/>
      <x:c r="G60" s="106"/>
    </x:row>
    <x:row r="61" ht="22" customHeight="1">
      <x:c r="A61" s="92" t="str"/>
      <x:c r="B61" s="94" t="str">
        <x:f>IFERROR(INDEX(Employees!$A$2:$A$500,MATCH(A61,Employees!$B$2:$B$500,0)),"")</x:f>
      </x:c>
      <x:c r="C61" s="45"/>
      <x:c r="D61" s="43" t="str">
        <x:f>IFERROR(VLOOKUP(C61,Employees!$A$2:$B$500,2,FALSE),"")</x:f>
      </x:c>
      <x:c r="E61" s="42"/>
      <x:c r="F61" s="105"/>
      <x:c r="G61" s="106"/>
    </x:row>
    <x:row r="62" ht="22" customHeight="1">
      <x:c r="A62" s="92" t="str"/>
      <x:c r="B62" s="94" t="str">
        <x:f>IFERROR(INDEX(Employees!$A$2:$A$500,MATCH(A62,Employees!$B$2:$B$500,0)),"")</x:f>
      </x:c>
      <x:c r="C62" s="45"/>
      <x:c r="D62" s="43" t="str">
        <x:f>IFERROR(VLOOKUP(C62,Employees!$A$2:$B$500,2,FALSE),"")</x:f>
      </x:c>
      <x:c r="E62" s="42"/>
      <x:c r="F62" s="105"/>
      <x:c r="G62" s="106"/>
    </x:row>
    <x:row r="63" ht="22" customHeight="1">
      <x:c r="A63" s="92" t="str"/>
      <x:c r="B63" s="94" t="str">
        <x:f>IFERROR(INDEX(Employees!$A$2:$A$500,MATCH(A63,Employees!$B$2:$B$500,0)),"")</x:f>
      </x:c>
      <x:c r="C63" s="45"/>
      <x:c r="D63" s="43" t="str">
        <x:f>IFERROR(VLOOKUP(C63,Employees!$A$2:$B$500,2,FALSE),"")</x:f>
      </x:c>
      <x:c r="E63" s="42"/>
      <x:c r="F63" s="105"/>
      <x:c r="G63" s="106"/>
    </x:row>
    <x:row r="64" ht="22" customHeight="1">
      <x:c r="A64" s="92" t="str"/>
      <x:c r="B64" s="94" t="str">
        <x:f>IFERROR(INDEX(Employees!$A$2:$A$500,MATCH(A64,Employees!$B$2:$B$500,0)),"")</x:f>
      </x:c>
      <x:c r="C64" s="45"/>
      <x:c r="D64" s="43" t="str">
        <x:f>IFERROR(VLOOKUP(C64,Employees!$A$2:$B$500,2,FALSE),"")</x:f>
      </x:c>
      <x:c r="E64" s="42"/>
      <x:c r="F64" s="105"/>
      <x:c r="G64" s="106"/>
    </x:row>
    <x:row r="65" ht="22" customHeight="1">
      <x:c r="A65" s="92" t="str"/>
      <x:c r="B65" s="94" t="str">
        <x:f>IFERROR(INDEX(Employees!$A$2:$A$500,MATCH(A65,Employees!$B$2:$B$500,0)),"")</x:f>
      </x:c>
      <x:c r="C65" s="45"/>
      <x:c r="D65" s="43" t="str">
        <x:f>IFERROR(VLOOKUP(C65,Employees!$A$2:$B$500,2,FALSE),"")</x:f>
      </x:c>
      <x:c r="E65" s="42"/>
      <x:c r="F65" s="105"/>
      <x:c r="G65" s="106"/>
    </x:row>
    <x:row r="66" ht="22" customHeight="1">
      <x:c r="A66" s="92" t="str"/>
      <x:c r="B66" s="94" t="str">
        <x:f>IFERROR(INDEX(Employees!$A$2:$A$500,MATCH(A66,Employees!$B$2:$B$500,0)),"")</x:f>
      </x:c>
      <x:c r="C66" s="45"/>
      <x:c r="D66" s="43" t="str">
        <x:f>IFERROR(VLOOKUP(C66,Employees!$A$2:$B$500,2,FALSE),"")</x:f>
      </x:c>
      <x:c r="E66" s="42"/>
      <x:c r="F66" s="105"/>
      <x:c r="G66" s="106"/>
    </x:row>
    <x:row r="67" ht="22" customHeight="1">
      <x:c r="A67" s="92" t="str"/>
      <x:c r="B67" s="94" t="str">
        <x:f>IFERROR(INDEX(Employees!$A$2:$A$500,MATCH(A67,Employees!$B$2:$B$500,0)),"")</x:f>
      </x:c>
      <x:c r="C67" s="45"/>
      <x:c r="D67" s="43" t="str">
        <x:f>IFERROR(VLOOKUP(C67,Employees!$A$2:$B$500,2,FALSE),"")</x:f>
      </x:c>
      <x:c r="E67" s="42"/>
      <x:c r="F67" s="105"/>
      <x:c r="G67" s="106"/>
    </x:row>
    <x:row r="68" ht="22" customHeight="1">
      <x:c r="A68" s="92" t="str"/>
      <x:c r="B68" s="94" t="str">
        <x:f>IFERROR(INDEX(Employees!$A$2:$A$500,MATCH(A68,Employees!$B$2:$B$500,0)),"")</x:f>
      </x:c>
      <x:c r="C68" s="45"/>
      <x:c r="D68" s="43" t="str">
        <x:f>IFERROR(VLOOKUP(C68,Employees!$A$2:$B$500,2,FALSE),"")</x:f>
      </x:c>
      <x:c r="E68" s="42"/>
      <x:c r="F68" s="105"/>
      <x:c r="G68" s="106"/>
    </x:row>
    <x:row r="69" ht="22" customHeight="1">
      <x:c r="A69" s="92" t="str"/>
      <x:c r="B69" s="94" t="str">
        <x:f>IFERROR(INDEX(Employees!$A$2:$A$500,MATCH(A69,Employees!$B$2:$B$500,0)),"")</x:f>
      </x:c>
      <x:c r="C69" s="45"/>
      <x:c r="D69" s="43" t="str">
        <x:f>IFERROR(VLOOKUP(C69,Employees!$A$2:$B$500,2,FALSE),"")</x:f>
      </x:c>
      <x:c r="E69" s="42"/>
      <x:c r="F69" s="105"/>
      <x:c r="G69" s="106"/>
    </x:row>
    <x:row r="70" ht="22" customHeight="1">
      <x:c r="A70" s="92" t="str"/>
      <x:c r="B70" s="94" t="str">
        <x:f>IFERROR(INDEX(Employees!$A$2:$A$500,MATCH(A70,Employees!$B$2:$B$500,0)),"")</x:f>
      </x:c>
      <x:c r="C70" s="45"/>
      <x:c r="D70" s="43" t="str">
        <x:f>IFERROR(VLOOKUP(C70,Employees!$A$2:$B$500,2,FALSE),"")</x:f>
      </x:c>
      <x:c r="E70" s="42"/>
      <x:c r="F70" s="105"/>
      <x:c r="G70" s="106"/>
    </x:row>
    <x:row r="71" ht="22" customHeight="1">
      <x:c r="A71" s="92" t="str"/>
      <x:c r="B71" s="94" t="str">
        <x:f>IFERROR(INDEX(Employees!$A$2:$A$500,MATCH(A71,Employees!$B$2:$B$500,0)),"")</x:f>
      </x:c>
      <x:c r="C71" s="45"/>
      <x:c r="D71" s="43" t="str">
        <x:f>IFERROR(VLOOKUP(C71,Employees!$A$2:$B$500,2,FALSE),"")</x:f>
      </x:c>
      <x:c r="E71" s="42"/>
      <x:c r="F71" s="105"/>
      <x:c r="G71" s="106"/>
    </x:row>
    <x:row r="72" ht="22" customHeight="1">
      <x:c r="A72" s="92" t="str"/>
      <x:c r="B72" s="94" t="str">
        <x:f>IFERROR(INDEX(Employees!$A$2:$A$500,MATCH(A72,Employees!$B$2:$B$500,0)),"")</x:f>
      </x:c>
      <x:c r="C72" s="45"/>
      <x:c r="D72" s="43" t="str">
        <x:f>IFERROR(VLOOKUP(C72,Employees!$A$2:$B$500,2,FALSE),"")</x:f>
      </x:c>
      <x:c r="E72" s="42"/>
      <x:c r="F72" s="105"/>
      <x:c r="G72" s="106"/>
    </x:row>
    <x:row r="73" ht="22" customHeight="1">
      <x:c r="A73" s="92" t="str"/>
      <x:c r="B73" s="94" t="str">
        <x:f>IFERROR(INDEX(Employees!$A$2:$A$500,MATCH(A73,Employees!$B$2:$B$500,0)),"")</x:f>
      </x:c>
      <x:c r="C73" s="45"/>
      <x:c r="D73" s="43" t="str">
        <x:f>IFERROR(VLOOKUP(C73,Employees!$A$2:$B$500,2,FALSE),"")</x:f>
      </x:c>
      <x:c r="E73" s="42"/>
      <x:c r="F73" s="105"/>
      <x:c r="G73" s="106"/>
    </x:row>
    <x:row r="74" ht="22" customHeight="1">
      <x:c r="A74" s="92" t="str"/>
      <x:c r="B74" s="94" t="str">
        <x:f>IFERROR(INDEX(Employees!$A$2:$A$500,MATCH(A74,Employees!$B$2:$B$500,0)),"")</x:f>
      </x:c>
      <x:c r="C74" s="45"/>
      <x:c r="D74" s="43" t="str">
        <x:f>IFERROR(VLOOKUP(C74,Employees!$A$2:$B$500,2,FALSE),"")</x:f>
      </x:c>
      <x:c r="E74" s="42"/>
      <x:c r="F74" s="105"/>
      <x:c r="G74" s="106"/>
    </x:row>
    <x:row r="75" ht="22" customHeight="1">
      <x:c r="A75" s="92" t="str"/>
      <x:c r="B75" s="94" t="str">
        <x:f>IFERROR(INDEX(Employees!$A$2:$A$500,MATCH(A75,Employees!$B$2:$B$500,0)),"")</x:f>
      </x:c>
      <x:c r="C75" s="45"/>
      <x:c r="D75" s="43" t="str">
        <x:f>IFERROR(VLOOKUP(C75,Employees!$A$2:$B$500,2,FALSE),"")</x:f>
      </x:c>
      <x:c r="E75" s="42"/>
      <x:c r="F75" s="105"/>
      <x:c r="G75" s="106"/>
    </x:row>
    <x:row r="76" ht="22" customHeight="1">
      <x:c r="A76" s="92" t="str"/>
      <x:c r="B76" s="94" t="str">
        <x:f>IFERROR(INDEX(Employees!$A$2:$A$500,MATCH(A76,Employees!$B$2:$B$500,0)),"")</x:f>
      </x:c>
      <x:c r="C76" s="45"/>
      <x:c r="D76" s="43" t="str">
        <x:f>IFERROR(VLOOKUP(C76,Employees!$A$2:$B$500,2,FALSE),"")</x:f>
      </x:c>
      <x:c r="E76" s="42"/>
      <x:c r="F76" s="105"/>
      <x:c r="G76" s="106"/>
    </x:row>
    <x:row r="77" ht="22" customHeight="1">
      <x:c r="A77" s="92" t="str"/>
      <x:c r="B77" s="94" t="str">
        <x:f>IFERROR(INDEX(Employees!$A$2:$A$500,MATCH(A77,Employees!$B$2:$B$500,0)),"")</x:f>
      </x:c>
      <x:c r="C77" s="45"/>
      <x:c r="D77" s="43" t="str">
        <x:f>IFERROR(VLOOKUP(C77,Employees!$A$2:$B$500,2,FALSE),"")</x:f>
      </x:c>
      <x:c r="E77" s="42"/>
      <x:c r="F77" s="105"/>
      <x:c r="G77" s="106"/>
    </x:row>
    <x:row r="78" ht="22" customHeight="1">
      <x:c r="A78" s="92" t="str"/>
      <x:c r="B78" s="94" t="str">
        <x:f>IFERROR(INDEX(Employees!$A$2:$A$500,MATCH(A78,Employees!$B$2:$B$500,0)),"")</x:f>
      </x:c>
      <x:c r="C78" s="45"/>
      <x:c r="D78" s="43" t="str">
        <x:f>IFERROR(VLOOKUP(C78,Employees!$A$2:$B$500,2,FALSE),"")</x:f>
      </x:c>
      <x:c r="E78" s="42"/>
      <x:c r="F78" s="105"/>
      <x:c r="G78" s="106"/>
    </x:row>
    <x:row r="79" ht="22" customHeight="1">
      <x:c r="A79" s="92" t="str"/>
      <x:c r="B79" s="94" t="str">
        <x:f>IFERROR(INDEX(Employees!$A$2:$A$500,MATCH(A79,Employees!$B$2:$B$500,0)),"")</x:f>
      </x:c>
      <x:c r="C79" s="45"/>
      <x:c r="D79" s="43" t="str">
        <x:f>IFERROR(VLOOKUP(C79,Employees!$A$2:$B$500,2,FALSE),"")</x:f>
      </x:c>
      <x:c r="E79" s="42"/>
      <x:c r="F79" s="105"/>
      <x:c r="G79" s="106"/>
    </x:row>
    <x:row r="80" ht="22" customHeight="1">
      <x:c r="A80" s="92" t="str"/>
      <x:c r="B80" s="94" t="str">
        <x:f>IFERROR(INDEX(Employees!$A$2:$A$500,MATCH(A80,Employees!$B$2:$B$500,0)),"")</x:f>
      </x:c>
      <x:c r="C80" s="45"/>
      <x:c r="D80" s="43" t="str">
        <x:f>IFERROR(VLOOKUP(C80,Employees!$A$2:$B$500,2,FALSE),"")</x:f>
      </x:c>
      <x:c r="E80" s="42"/>
      <x:c r="F80" s="105"/>
      <x:c r="G80" s="106"/>
    </x:row>
    <x:row r="81" ht="22" customHeight="1">
      <x:c r="A81" s="92" t="str"/>
      <x:c r="B81" s="94" t="str">
        <x:f>IFERROR(INDEX(Employees!$A$2:$A$500,MATCH(A81,Employees!$B$2:$B$500,0)),"")</x:f>
      </x:c>
      <x:c r="C81" s="45"/>
      <x:c r="D81" s="43" t="str">
        <x:f>IFERROR(VLOOKUP(C81,Employees!$A$2:$B$500,2,FALSE),"")</x:f>
      </x:c>
      <x:c r="E81" s="42"/>
      <x:c r="F81" s="105"/>
      <x:c r="G81" s="106"/>
    </x:row>
    <x:row r="82" ht="22" customHeight="1">
      <x:c r="A82" s="92" t="str"/>
      <x:c r="B82" s="94" t="str">
        <x:f>IFERROR(INDEX(Employees!$A$2:$A$500,MATCH(A82,Employees!$B$2:$B$500,0)),"")</x:f>
      </x:c>
      <x:c r="C82" s="45"/>
      <x:c r="D82" s="43" t="str">
        <x:f>IFERROR(VLOOKUP(C82,Employees!$A$2:$B$500,2,FALSE),"")</x:f>
      </x:c>
      <x:c r="E82" s="42"/>
      <x:c r="F82" s="105"/>
      <x:c r="G82" s="106"/>
    </x:row>
    <x:row r="83" ht="22" customHeight="1">
      <x:c r="A83" s="92" t="str"/>
      <x:c r="B83" s="94" t="str">
        <x:f>IFERROR(INDEX(Employees!$A$2:$A$500,MATCH(A83,Employees!$B$2:$B$500,0)),"")</x:f>
      </x:c>
      <x:c r="C83" s="45"/>
      <x:c r="D83" s="43" t="str">
        <x:f>IFERROR(VLOOKUP(C83,Employees!$A$2:$B$500,2,FALSE),"")</x:f>
      </x:c>
      <x:c r="E83" s="42"/>
      <x:c r="F83" s="105"/>
      <x:c r="G83" s="106"/>
    </x:row>
    <x:row r="84" ht="22" customHeight="1">
      <x:c r="A84" s="92" t="str"/>
      <x:c r="B84" s="94" t="str">
        <x:f>IFERROR(INDEX(Employees!$A$2:$A$500,MATCH(A84,Employees!$B$2:$B$500,0)),"")</x:f>
      </x:c>
      <x:c r="C84" s="45"/>
      <x:c r="D84" s="43" t="str">
        <x:f>IFERROR(VLOOKUP(C84,Employees!$A$2:$B$500,2,FALSE),"")</x:f>
      </x:c>
      <x:c r="E84" s="42"/>
      <x:c r="F84" s="105"/>
      <x:c r="G84" s="106"/>
    </x:row>
    <x:row r="85" ht="22" customHeight="1">
      <x:c r="A85" s="92" t="str"/>
      <x:c r="B85" s="94" t="str">
        <x:f>IFERROR(INDEX(Employees!$A$2:$A$500,MATCH(A85,Employees!$B$2:$B$500,0)),"")</x:f>
      </x:c>
      <x:c r="C85" s="45"/>
      <x:c r="D85" s="43" t="str">
        <x:f>IFERROR(VLOOKUP(C85,Employees!$A$2:$B$500,2,FALSE),"")</x:f>
      </x:c>
      <x:c r="E85" s="42"/>
      <x:c r="F85" s="105"/>
      <x:c r="G85" s="106"/>
    </x:row>
    <x:row r="86" ht="22" customHeight="1">
      <x:c r="A86" s="92" t="str"/>
      <x:c r="B86" s="94" t="str">
        <x:f>IFERROR(INDEX(Employees!$A$2:$A$500,MATCH(A86,Employees!$B$2:$B$500,0)),"")</x:f>
      </x:c>
      <x:c r="C86" s="45"/>
      <x:c r="D86" s="43" t="str">
        <x:f>IFERROR(VLOOKUP(C86,Employees!$A$2:$B$500,2,FALSE),"")</x:f>
      </x:c>
      <x:c r="E86" s="42"/>
      <x:c r="F86" s="105"/>
      <x:c r="G86" s="106"/>
    </x:row>
    <x:row r="87" ht="22" customHeight="1">
      <x:c r="A87" s="92" t="str"/>
      <x:c r="B87" s="94" t="str">
        <x:f>IFERROR(INDEX(Employees!$A$2:$A$500,MATCH(A87,Employees!$B$2:$B$500,0)),"")</x:f>
      </x:c>
      <x:c r="C87" s="45"/>
      <x:c r="D87" s="43" t="str">
        <x:f>IFERROR(VLOOKUP(C87,Employees!$A$2:$B$500,2,FALSE),"")</x:f>
      </x:c>
      <x:c r="E87" s="42"/>
      <x:c r="F87" s="105"/>
      <x:c r="G87" s="106"/>
    </x:row>
    <x:row r="88" ht="22" customHeight="1">
      <x:c r="A88" s="92" t="str"/>
      <x:c r="B88" s="94" t="str">
        <x:f>IFERROR(INDEX(Employees!$A$2:$A$500,MATCH(A88,Employees!$B$2:$B$500,0)),"")</x:f>
      </x:c>
      <x:c r="C88" s="45"/>
      <x:c r="D88" s="43" t="str">
        <x:f>IFERROR(VLOOKUP(C88,Employees!$A$2:$B$500,2,FALSE),"")</x:f>
      </x:c>
      <x:c r="E88" s="42"/>
      <x:c r="F88" s="105"/>
      <x:c r="G88" s="106"/>
    </x:row>
    <x:row r="89" ht="22" customHeight="1">
      <x:c r="A89" s="92" t="str"/>
      <x:c r="B89" s="94" t="str">
        <x:f>IFERROR(INDEX(Employees!$A$2:$A$500,MATCH(A89,Employees!$B$2:$B$500,0)),"")</x:f>
      </x:c>
      <x:c r="C89" s="45"/>
      <x:c r="D89" s="43" t="str">
        <x:f>IFERROR(VLOOKUP(C89,Employees!$A$2:$B$500,2,FALSE),"")</x:f>
      </x:c>
      <x:c r="E89" s="42"/>
      <x:c r="F89" s="105"/>
      <x:c r="G89" s="106"/>
    </x:row>
    <x:row r="90" ht="22" customHeight="1">
      <x:c r="A90" s="92" t="str"/>
      <x:c r="B90" s="94" t="str">
        <x:f>IFERROR(INDEX(Employees!$A$2:$A$500,MATCH(A90,Employees!$B$2:$B$500,0)),"")</x:f>
      </x:c>
      <x:c r="C90" s="45"/>
      <x:c r="D90" s="43" t="str">
        <x:f>IFERROR(VLOOKUP(C90,Employees!$A$2:$B$500,2,FALSE),"")</x:f>
      </x:c>
      <x:c r="E90" s="42"/>
      <x:c r="F90" s="105"/>
      <x:c r="G90" s="106"/>
    </x:row>
    <x:row r="91" ht="22" customHeight="1">
      <x:c r="A91" s="92" t="str"/>
      <x:c r="B91" s="94" t="str">
        <x:f>IFERROR(INDEX(Employees!$A$2:$A$500,MATCH(A91,Employees!$B$2:$B$500,0)),"")</x:f>
      </x:c>
      <x:c r="C91" s="45"/>
      <x:c r="D91" s="43" t="str">
        <x:f>IFERROR(VLOOKUP(C91,Employees!$A$2:$B$500,2,FALSE),"")</x:f>
      </x:c>
      <x:c r="E91" s="42"/>
      <x:c r="F91" s="105"/>
      <x:c r="G91" s="106"/>
    </x:row>
    <x:row r="92" ht="22" customHeight="1">
      <x:c r="A92" s="92" t="str"/>
      <x:c r="B92" s="94" t="str">
        <x:f>IFERROR(INDEX(Employees!$A$2:$A$500,MATCH(A92,Employees!$B$2:$B$500,0)),"")</x:f>
      </x:c>
      <x:c r="C92" s="45"/>
      <x:c r="D92" s="43" t="str">
        <x:f>IFERROR(VLOOKUP(C92,Employees!$A$2:$B$500,2,FALSE),"")</x:f>
      </x:c>
      <x:c r="E92" s="42"/>
      <x:c r="F92" s="105"/>
      <x:c r="G92" s="106"/>
    </x:row>
    <x:row r="93" ht="22" customHeight="1">
      <x:c r="A93" s="92" t="str"/>
      <x:c r="B93" s="94" t="str">
        <x:f>IFERROR(INDEX(Employees!$A$2:$A$500,MATCH(A93,Employees!$B$2:$B$500,0)),"")</x:f>
      </x:c>
      <x:c r="C93" s="45"/>
      <x:c r="D93" s="43" t="str">
        <x:f>IFERROR(VLOOKUP(C93,Employees!$A$2:$B$500,2,FALSE),"")</x:f>
      </x:c>
      <x:c r="E93" s="42"/>
      <x:c r="F93" s="105"/>
      <x:c r="G93" s="106"/>
    </x:row>
    <x:row r="94" ht="22" customHeight="1">
      <x:c r="A94" s="92" t="str"/>
      <x:c r="B94" s="94" t="str">
        <x:f>IFERROR(INDEX(Employees!$A$2:$A$500,MATCH(A94,Employees!$B$2:$B$500,0)),"")</x:f>
      </x:c>
      <x:c r="C94" s="45"/>
      <x:c r="D94" s="43" t="str">
        <x:f>IFERROR(VLOOKUP(C94,Employees!$A$2:$B$500,2,FALSE),"")</x:f>
      </x:c>
      <x:c r="E94" s="42"/>
      <x:c r="F94" s="105"/>
      <x:c r="G94" s="106"/>
    </x:row>
    <x:row r="95" ht="22" customHeight="1">
      <x:c r="A95" s="92" t="str"/>
      <x:c r="B95" s="94" t="str">
        <x:f>IFERROR(INDEX(Employees!$A$2:$A$500,MATCH(A95,Employees!$B$2:$B$500,0)),"")</x:f>
      </x:c>
      <x:c r="C95" s="45"/>
      <x:c r="D95" s="43" t="str">
        <x:f>IFERROR(VLOOKUP(C95,Employees!$A$2:$B$500,2,FALSE),"")</x:f>
      </x:c>
      <x:c r="E95" s="42"/>
      <x:c r="F95" s="105"/>
      <x:c r="G95" s="106"/>
    </x:row>
    <x:row r="96" ht="22" customHeight="1">
      <x:c r="A96" s="92" t="str"/>
      <x:c r="B96" s="94" t="str">
        <x:f>IFERROR(INDEX(Employees!$A$2:$A$500,MATCH(A96,Employees!$B$2:$B$500,0)),"")</x:f>
      </x:c>
      <x:c r="C96" s="45"/>
      <x:c r="D96" s="43" t="str">
        <x:f>IFERROR(VLOOKUP(C96,Employees!$A$2:$B$500,2,FALSE),"")</x:f>
      </x:c>
      <x:c r="E96" s="42"/>
      <x:c r="F96" s="105"/>
      <x:c r="G96" s="106"/>
    </x:row>
    <x:row r="97" ht="22" customHeight="1">
      <x:c r="A97" s="92" t="str"/>
      <x:c r="B97" s="94" t="str">
        <x:f>IFERROR(INDEX(Employees!$A$2:$A$500,MATCH(A97,Employees!$B$2:$B$500,0)),"")</x:f>
      </x:c>
      <x:c r="C97" s="45"/>
      <x:c r="D97" s="43" t="str">
        <x:f>IFERROR(VLOOKUP(C97,Employees!$A$2:$B$500,2,FALSE),"")</x:f>
      </x:c>
      <x:c r="E97" s="42"/>
      <x:c r="F97" s="105"/>
      <x:c r="G97" s="106"/>
    </x:row>
    <x:row r="98" ht="22" customHeight="1">
      <x:c r="A98" s="92" t="str"/>
      <x:c r="B98" s="94" t="str">
        <x:f>IFERROR(INDEX(Employees!$A$2:$A$500,MATCH(A98,Employees!$B$2:$B$500,0)),"")</x:f>
      </x:c>
      <x:c r="C98" s="45"/>
      <x:c r="D98" s="43" t="str">
        <x:f>IFERROR(VLOOKUP(C98,Employees!$A$2:$B$500,2,FALSE),"")</x:f>
      </x:c>
      <x:c r="E98" s="42"/>
      <x:c r="F98" s="105"/>
      <x:c r="G98" s="106"/>
    </x:row>
    <x:row r="99" ht="22" customHeight="1">
      <x:c r="A99" s="92" t="str"/>
      <x:c r="B99" s="94" t="str">
        <x:f>IFERROR(INDEX(Employees!$A$2:$A$500,MATCH(A99,Employees!$B$2:$B$500,0)),"")</x:f>
      </x:c>
      <x:c r="C99" s="45"/>
      <x:c r="D99" s="43" t="str">
        <x:f>IFERROR(VLOOKUP(C99,Employees!$A$2:$B$500,2,FALSE),"")</x:f>
      </x:c>
      <x:c r="E99" s="42"/>
      <x:c r="F99" s="105"/>
      <x:c r="G99" s="106"/>
    </x:row>
    <x:row r="100" ht="22" customHeight="1">
      <x:c r="A100" s="92" t="str"/>
      <x:c r="B100" s="94" t="str">
        <x:f>IFERROR(INDEX(Employees!$A$2:$A$500,MATCH(A100,Employees!$B$2:$B$500,0)),"")</x:f>
      </x:c>
      <x:c r="C100" s="45"/>
      <x:c r="D100" s="43" t="str">
        <x:f>IFERROR(VLOOKUP(C100,Employees!$A$2:$B$500,2,FALSE),"")</x:f>
      </x:c>
      <x:c r="E100" s="42"/>
      <x:c r="F100" s="105"/>
      <x:c r="G100" s="106"/>
    </x:row>
    <x:row r="101" ht="22" customHeight="1">
      <x:c r="A101" s="92" t="str"/>
      <x:c r="B101" s="94" t="str">
        <x:f>IFERROR(INDEX(Employees!$A$2:$A$500,MATCH(A101,Employees!$B$2:$B$500,0)),"")</x:f>
      </x:c>
      <x:c r="C101" s="45"/>
      <x:c r="D101" s="43" t="str">
        <x:f>IFERROR(VLOOKUP(C101,Employees!$A$2:$B$500,2,FALSE),"")</x:f>
      </x:c>
      <x:c r="E101" s="42"/>
      <x:c r="F101" s="105"/>
      <x:c r="G101" s="106"/>
    </x:row>
    <x:row r="102" ht="22" customHeight="1">
      <x:c r="A102" s="92" t="str"/>
      <x:c r="B102" s="94" t="str">
        <x:f>IFERROR(INDEX(Employees!$A$2:$A$500,MATCH(A102,Employees!$B$2:$B$500,0)),"")</x:f>
      </x:c>
      <x:c r="C102" s="45"/>
      <x:c r="D102" s="43" t="str">
        <x:f>IFERROR(VLOOKUP(C102,Employees!$A$2:$B$500,2,FALSE),"")</x:f>
      </x:c>
      <x:c r="E102" s="42"/>
      <x:c r="F102" s="105"/>
      <x:c r="G102" s="106"/>
    </x:row>
    <x:row r="103" ht="22" customHeight="1">
      <x:c r="A103" s="92" t="str"/>
      <x:c r="B103" s="94" t="str">
        <x:f>IFERROR(INDEX(Employees!$A$2:$A$500,MATCH(A103,Employees!$B$2:$B$500,0)),"")</x:f>
      </x:c>
      <x:c r="C103" s="45"/>
      <x:c r="D103" s="43" t="str">
        <x:f>IFERROR(VLOOKUP(C103,Employees!$A$2:$B$500,2,FALSE),"")</x:f>
      </x:c>
      <x:c r="E103" s="42"/>
      <x:c r="F103" s="105"/>
      <x:c r="G103" s="106"/>
    </x:row>
    <x:row r="104" ht="22" customHeight="1">
      <x:c r="A104" s="92" t="str"/>
      <x:c r="B104" s="94" t="str">
        <x:f>IFERROR(INDEX(Employees!$A$2:$A$500,MATCH(A104,Employees!$B$2:$B$500,0)),"")</x:f>
      </x:c>
      <x:c r="C104" s="45"/>
      <x:c r="D104" s="43" t="str">
        <x:f>IFERROR(VLOOKUP(C104,Employees!$A$2:$B$500,2,FALSE),"")</x:f>
      </x:c>
      <x:c r="E104" s="42"/>
      <x:c r="F104" s="105"/>
      <x:c r="G104" s="106"/>
    </x:row>
    <x:row r="105" ht="22" customHeight="1">
      <x:c r="A105" s="92" t="str"/>
      <x:c r="B105" s="94" t="str">
        <x:f>IFERROR(INDEX(Employees!$A$2:$A$500,MATCH(A105,Employees!$B$2:$B$500,0)),"")</x:f>
      </x:c>
      <x:c r="C105" s="45"/>
      <x:c r="D105" s="43" t="str">
        <x:f>IFERROR(VLOOKUP(C105,Employees!$A$2:$B$500,2,FALSE),"")</x:f>
      </x:c>
      <x:c r="E105" s="42"/>
      <x:c r="F105" s="105"/>
      <x:c r="G105" s="106"/>
    </x:row>
    <x:row r="106" ht="22" customHeight="1">
      <x:c r="A106" s="92" t="str"/>
      <x:c r="B106" s="94" t="str">
        <x:f>IFERROR(INDEX(Employees!$A$2:$A$500,MATCH(A106,Employees!$B$2:$B$500,0)),"")</x:f>
      </x:c>
      <x:c r="C106" s="45"/>
      <x:c r="D106" s="43" t="str">
        <x:f>IFERROR(VLOOKUP(C106,Employees!$A$2:$B$500,2,FALSE),"")</x:f>
      </x:c>
      <x:c r="E106" s="42"/>
      <x:c r="F106" s="105"/>
      <x:c r="G106" s="106"/>
    </x:row>
    <x:row r="107" ht="22" customHeight="1">
      <x:c r="A107" s="92" t="str"/>
      <x:c r="B107" s="94" t="str">
        <x:f>IFERROR(INDEX(Employees!$A$2:$A$500,MATCH(A107,Employees!$B$2:$B$500,0)),"")</x:f>
      </x:c>
      <x:c r="C107" s="45"/>
      <x:c r="D107" s="43" t="str">
        <x:f>IFERROR(VLOOKUP(C107,Employees!$A$2:$B$500,2,FALSE),"")</x:f>
      </x:c>
      <x:c r="E107" s="42"/>
      <x:c r="F107" s="105"/>
      <x:c r="G107" s="106"/>
    </x:row>
    <x:row r="108" ht="22" customHeight="1">
      <x:c r="A108" s="92" t="str"/>
      <x:c r="B108" s="94" t="str">
        <x:f>IFERROR(INDEX(Employees!$A$2:$A$500,MATCH(A108,Employees!$B$2:$B$500,0)),"")</x:f>
      </x:c>
      <x:c r="C108" s="45"/>
      <x:c r="D108" s="43" t="str">
        <x:f>IFERROR(VLOOKUP(C108,Employees!$A$2:$B$500,2,FALSE),"")</x:f>
      </x:c>
      <x:c r="E108" s="42"/>
      <x:c r="F108" s="105"/>
      <x:c r="G108" s="106"/>
    </x:row>
    <x:row r="109" ht="22" customHeight="1">
      <x:c r="A109" s="92" t="str"/>
      <x:c r="B109" s="94" t="str">
        <x:f>IFERROR(INDEX(Employees!$A$2:$A$500,MATCH(A109,Employees!$B$2:$B$500,0)),"")</x:f>
      </x:c>
      <x:c r="C109" s="45"/>
      <x:c r="D109" s="43" t="str">
        <x:f>IFERROR(VLOOKUP(C109,Employees!$A$2:$B$500,2,FALSE),"")</x:f>
      </x:c>
      <x:c r="E109" s="42"/>
      <x:c r="F109" s="105"/>
      <x:c r="G109" s="106"/>
    </x:row>
    <x:row r="110" ht="22" customHeight="1">
      <x:c r="A110" s="92" t="str"/>
      <x:c r="B110" s="94" t="str">
        <x:f>IFERROR(INDEX(Employees!$A$2:$A$500,MATCH(A110,Employees!$B$2:$B$500,0)),"")</x:f>
      </x:c>
      <x:c r="C110" s="45"/>
      <x:c r="D110" s="43" t="str">
        <x:f>IFERROR(VLOOKUP(C110,Employees!$A$2:$B$500,2,FALSE),"")</x:f>
      </x:c>
      <x:c r="E110" s="42"/>
      <x:c r="F110" s="105"/>
      <x:c r="G110" s="106"/>
    </x:row>
    <x:row r="111" ht="22" customHeight="1">
      <x:c r="A111" s="92" t="str"/>
      <x:c r="B111" s="94" t="str">
        <x:f>IFERROR(INDEX(Employees!$A$2:$A$500,MATCH(A111,Employees!$B$2:$B$500,0)),"")</x:f>
      </x:c>
      <x:c r="C111" s="45"/>
      <x:c r="D111" s="43" t="str">
        <x:f>IFERROR(VLOOKUP(C111,Employees!$A$2:$B$500,2,FALSE),"")</x:f>
      </x:c>
      <x:c r="E111" s="42"/>
      <x:c r="F111" s="105"/>
      <x:c r="G111" s="106"/>
    </x:row>
    <x:row r="112" ht="22" customHeight="1">
      <x:c r="A112" s="92" t="str"/>
      <x:c r="B112" s="94" t="str">
        <x:f>IFERROR(INDEX(Employees!$A$2:$A$500,MATCH(A112,Employees!$B$2:$B$500,0)),"")</x:f>
      </x:c>
      <x:c r="C112" s="45"/>
      <x:c r="D112" s="43" t="str">
        <x:f>IFERROR(VLOOKUP(C112,Employees!$A$2:$B$500,2,FALSE),"")</x:f>
      </x:c>
      <x:c r="E112" s="42"/>
      <x:c r="F112" s="105"/>
      <x:c r="G112" s="106"/>
    </x:row>
    <x:row r="113" ht="22" customHeight="1">
      <x:c r="A113" s="92" t="str"/>
      <x:c r="B113" s="94" t="str">
        <x:f>IFERROR(INDEX(Employees!$A$2:$A$500,MATCH(A113,Employees!$B$2:$B$500,0)),"")</x:f>
      </x:c>
      <x:c r="C113" s="45"/>
      <x:c r="D113" s="43" t="str">
        <x:f>IFERROR(VLOOKUP(C113,Employees!$A$2:$B$500,2,FALSE),"")</x:f>
      </x:c>
      <x:c r="E113" s="42"/>
      <x:c r="F113" s="105"/>
      <x:c r="G113" s="106"/>
    </x:row>
    <x:row r="114" ht="22" customHeight="1">
      <x:c r="A114" s="92" t="str"/>
      <x:c r="B114" s="94" t="str">
        <x:f>IFERROR(INDEX(Employees!$A$2:$A$500,MATCH(A114,Employees!$B$2:$B$500,0)),"")</x:f>
      </x:c>
      <x:c r="C114" s="45"/>
      <x:c r="D114" s="43" t="str">
        <x:f>IFERROR(VLOOKUP(C114,Employees!$A$2:$B$500,2,FALSE),"")</x:f>
      </x:c>
      <x:c r="E114" s="42"/>
      <x:c r="F114" s="105"/>
      <x:c r="G114" s="106"/>
    </x:row>
    <x:row r="115" ht="22" customHeight="1">
      <x:c r="A115" s="92" t="str"/>
      <x:c r="B115" s="94" t="str">
        <x:f>IFERROR(INDEX(Employees!$A$2:$A$500,MATCH(A115,Employees!$B$2:$B$500,0)),"")</x:f>
      </x:c>
      <x:c r="C115" s="45"/>
      <x:c r="D115" s="43" t="str">
        <x:f>IFERROR(VLOOKUP(C115,Employees!$A$2:$B$500,2,FALSE),"")</x:f>
      </x:c>
      <x:c r="E115" s="42"/>
      <x:c r="F115" s="105"/>
      <x:c r="G115" s="106"/>
    </x:row>
    <x:row r="116" ht="22" customHeight="1">
      <x:c r="A116" s="92" t="str"/>
      <x:c r="B116" s="94" t="str">
        <x:f>IFERROR(INDEX(Employees!$A$2:$A$500,MATCH(A116,Employees!$B$2:$B$500,0)),"")</x:f>
      </x:c>
      <x:c r="C116" s="45"/>
      <x:c r="D116" s="43" t="str">
        <x:f>IFERROR(VLOOKUP(C116,Employees!$A$2:$B$500,2,FALSE),"")</x:f>
      </x:c>
      <x:c r="E116" s="42"/>
      <x:c r="F116" s="105"/>
      <x:c r="G116" s="106"/>
    </x:row>
    <x:row r="117" ht="22" customHeight="1">
      <x:c r="A117" s="92" t="str"/>
      <x:c r="B117" s="94" t="str">
        <x:f>IFERROR(INDEX(Employees!$A$2:$A$500,MATCH(A117,Employees!$B$2:$B$500,0)),"")</x:f>
      </x:c>
      <x:c r="C117" s="45"/>
      <x:c r="D117" s="43" t="str">
        <x:f>IFERROR(VLOOKUP(C117,Employees!$A$2:$B$500,2,FALSE),"")</x:f>
      </x:c>
      <x:c r="E117" s="42"/>
      <x:c r="F117" s="105"/>
      <x:c r="G117" s="106"/>
    </x:row>
    <x:row r="118" ht="22" customHeight="1">
      <x:c r="A118" s="92" t="str"/>
      <x:c r="B118" s="94" t="str">
        <x:f>IFERROR(INDEX(Employees!$A$2:$A$500,MATCH(A118,Employees!$B$2:$B$500,0)),"")</x:f>
      </x:c>
      <x:c r="C118" s="45"/>
      <x:c r="D118" s="43" t="str">
        <x:f>IFERROR(VLOOKUP(C118,Employees!$A$2:$B$500,2,FALSE),"")</x:f>
      </x:c>
      <x:c r="E118" s="42"/>
      <x:c r="F118" s="105"/>
      <x:c r="G118" s="106"/>
    </x:row>
    <x:row r="119" ht="22" customHeight="1">
      <x:c r="A119" s="92" t="str"/>
      <x:c r="B119" s="94" t="str">
        <x:f>IFERROR(INDEX(Employees!$A$2:$A$500,MATCH(A119,Employees!$B$2:$B$500,0)),"")</x:f>
      </x:c>
      <x:c r="C119" s="45"/>
      <x:c r="D119" s="43" t="str">
        <x:f>IFERROR(VLOOKUP(C119,Employees!$A$2:$B$500,2,FALSE),"")</x:f>
      </x:c>
      <x:c r="E119" s="42"/>
      <x:c r="F119" s="105"/>
      <x:c r="G119" s="106"/>
    </x:row>
    <x:row r="120" ht="22" customHeight="1">
      <x:c r="A120" s="92" t="str"/>
      <x:c r="B120" s="94" t="str">
        <x:f>IFERROR(INDEX(Employees!$A$2:$A$500,MATCH(A120,Employees!$B$2:$B$500,0)),"")</x:f>
      </x:c>
      <x:c r="C120" s="45"/>
      <x:c r="D120" s="43" t="str">
        <x:f>IFERROR(VLOOKUP(C120,Employees!$A$2:$B$500,2,FALSE),"")</x:f>
      </x:c>
      <x:c r="E120" s="42"/>
      <x:c r="F120" s="105"/>
      <x:c r="G120" s="106"/>
    </x:row>
    <x:row r="121" ht="22" customHeight="1">
      <x:c r="A121" s="92" t="str"/>
      <x:c r="B121" s="94" t="str">
        <x:f>IFERROR(INDEX(Employees!$A$2:$A$500,MATCH(A121,Employees!$B$2:$B$500,0)),"")</x:f>
      </x:c>
      <x:c r="C121" s="45"/>
      <x:c r="D121" s="43" t="str">
        <x:f>IFERROR(VLOOKUP(C121,Employees!$A$2:$B$500,2,FALSE),"")</x:f>
      </x:c>
      <x:c r="E121" s="42"/>
      <x:c r="F121" s="105"/>
      <x:c r="G121" s="106"/>
    </x:row>
    <x:row r="122" ht="22" customHeight="1">
      <x:c r="A122" s="92" t="str"/>
      <x:c r="B122" s="94" t="str">
        <x:f>IFERROR(INDEX(Employees!$A$2:$A$500,MATCH(A122,Employees!$B$2:$B$500,0)),"")</x:f>
      </x:c>
      <x:c r="C122" s="45"/>
      <x:c r="D122" s="43" t="str">
        <x:f>IFERROR(VLOOKUP(C122,Employees!$A$2:$B$500,2,FALSE),"")</x:f>
      </x:c>
      <x:c r="E122" s="42"/>
      <x:c r="F122" s="105"/>
      <x:c r="G122" s="106"/>
    </x:row>
    <x:row r="123" ht="22" customHeight="1">
      <x:c r="A123" s="92" t="str"/>
      <x:c r="B123" s="94" t="str">
        <x:f>IFERROR(INDEX(Employees!$A$2:$A$500,MATCH(A123,Employees!$B$2:$B$500,0)),"")</x:f>
      </x:c>
      <x:c r="C123" s="45"/>
      <x:c r="D123" s="43" t="str">
        <x:f>IFERROR(VLOOKUP(C123,Employees!$A$2:$B$500,2,FALSE),"")</x:f>
      </x:c>
      <x:c r="E123" s="42"/>
      <x:c r="F123" s="105"/>
      <x:c r="G123" s="106"/>
    </x:row>
    <x:row r="124" ht="22" customHeight="1">
      <x:c r="A124" s="92" t="str"/>
      <x:c r="B124" s="94" t="str">
        <x:f>IFERROR(INDEX(Employees!$A$2:$A$500,MATCH(A124,Employees!$B$2:$B$500,0)),"")</x:f>
      </x:c>
      <x:c r="C124" s="45"/>
      <x:c r="D124" s="43" t="str">
        <x:f>IFERROR(VLOOKUP(C124,Employees!$A$2:$B$500,2,FALSE),"")</x:f>
      </x:c>
      <x:c r="E124" s="42"/>
      <x:c r="F124" s="105"/>
      <x:c r="G124" s="106"/>
    </x:row>
    <x:row r="125" ht="22" customHeight="1">
      <x:c r="A125" s="92" t="str"/>
      <x:c r="B125" s="94" t="str">
        <x:f>IFERROR(INDEX(Employees!$A$2:$A$500,MATCH(A125,Employees!$B$2:$B$500,0)),"")</x:f>
      </x:c>
      <x:c r="C125" s="45"/>
      <x:c r="D125" s="43" t="str">
        <x:f>IFERROR(VLOOKUP(C125,Employees!$A$2:$B$500,2,FALSE),"")</x:f>
      </x:c>
      <x:c r="E125" s="42"/>
      <x:c r="F125" s="105"/>
      <x:c r="G125" s="106"/>
    </x:row>
    <x:row r="126" ht="22" customHeight="1">
      <x:c r="A126" s="92" t="str"/>
      <x:c r="B126" s="94" t="str">
        <x:f>IFERROR(INDEX(Employees!$A$2:$A$500,MATCH(A126,Employees!$B$2:$B$500,0)),"")</x:f>
      </x:c>
      <x:c r="C126" s="45"/>
      <x:c r="D126" s="43" t="str">
        <x:f>IFERROR(VLOOKUP(C126,Employees!$A$2:$B$500,2,FALSE),"")</x:f>
      </x:c>
      <x:c r="E126" s="42"/>
      <x:c r="F126" s="105"/>
      <x:c r="G126" s="106"/>
    </x:row>
    <x:row r="127" ht="22" customHeight="1">
      <x:c r="A127" s="92" t="str"/>
      <x:c r="B127" s="94" t="str">
        <x:f>IFERROR(INDEX(Employees!$A$2:$A$500,MATCH(A127,Employees!$B$2:$B$500,0)),"")</x:f>
      </x:c>
      <x:c r="C127" s="45"/>
      <x:c r="D127" s="43" t="str">
        <x:f>IFERROR(VLOOKUP(C127,Employees!$A$2:$B$500,2,FALSE),"")</x:f>
      </x:c>
      <x:c r="E127" s="42"/>
      <x:c r="F127" s="105"/>
      <x:c r="G127" s="106"/>
    </x:row>
    <x:row r="128" ht="22" customHeight="1">
      <x:c r="A128" s="92" t="str"/>
      <x:c r="B128" s="94" t="str">
        <x:f>IFERROR(INDEX(Employees!$A$2:$A$500,MATCH(A128,Employees!$B$2:$B$500,0)),"")</x:f>
      </x:c>
      <x:c r="C128" s="45"/>
      <x:c r="D128" s="43" t="str">
        <x:f>IFERROR(VLOOKUP(C128,Employees!$A$2:$B$500,2,FALSE),"")</x:f>
      </x:c>
      <x:c r="E128" s="42"/>
      <x:c r="F128" s="105"/>
      <x:c r="G128" s="106"/>
    </x:row>
    <x:row r="129" ht="22" customHeight="1">
      <x:c r="A129" s="92" t="str"/>
      <x:c r="B129" s="94" t="str">
        <x:f>IFERROR(INDEX(Employees!$A$2:$A$500,MATCH(A129,Employees!$B$2:$B$500,0)),"")</x:f>
      </x:c>
      <x:c r="C129" s="45"/>
      <x:c r="D129" s="43" t="str">
        <x:f>IFERROR(VLOOKUP(C129,Employees!$A$2:$B$500,2,FALSE),"")</x:f>
      </x:c>
      <x:c r="E129" s="42"/>
      <x:c r="F129" s="105"/>
      <x:c r="G129" s="106"/>
    </x:row>
    <x:row r="130" ht="22" customHeight="1">
      <x:c r="A130" s="92" t="str"/>
      <x:c r="B130" s="94" t="str">
        <x:f>IFERROR(INDEX(Employees!$A$2:$A$500,MATCH(A130,Employees!$B$2:$B$500,0)),"")</x:f>
      </x:c>
      <x:c r="C130" s="45"/>
      <x:c r="D130" s="43" t="str">
        <x:f>IFERROR(VLOOKUP(C130,Employees!$A$2:$B$500,2,FALSE),"")</x:f>
      </x:c>
      <x:c r="E130" s="42"/>
      <x:c r="F130" s="105"/>
      <x:c r="G130" s="106"/>
    </x:row>
    <x:row r="131" ht="22" customHeight="1">
      <x:c r="A131" s="92" t="str"/>
      <x:c r="B131" s="94" t="str">
        <x:f>IFERROR(INDEX(Employees!$A$2:$A$500,MATCH(A131,Employees!$B$2:$B$500,0)),"")</x:f>
      </x:c>
      <x:c r="C131" s="45"/>
      <x:c r="D131" s="43" t="str">
        <x:f>IFERROR(VLOOKUP(C131,Employees!$A$2:$B$500,2,FALSE),"")</x:f>
      </x:c>
      <x:c r="E131" s="42"/>
      <x:c r="F131" s="105"/>
      <x:c r="G131" s="106"/>
    </x:row>
    <x:row r="132" ht="22" customHeight="1">
      <x:c r="A132" s="92" t="str"/>
      <x:c r="B132" s="94" t="str">
        <x:f>IFERROR(INDEX(Employees!$A$2:$A$500,MATCH(A132,Employees!$B$2:$B$500,0)),"")</x:f>
      </x:c>
      <x:c r="C132" s="45"/>
      <x:c r="D132" s="43" t="str">
        <x:f>IFERROR(VLOOKUP(C132,Employees!$A$2:$B$500,2,FALSE),"")</x:f>
      </x:c>
      <x:c r="E132" s="42"/>
      <x:c r="F132" s="105"/>
      <x:c r="G132" s="106"/>
    </x:row>
    <x:row r="133" ht="22" customHeight="1">
      <x:c r="A133" s="92" t="str"/>
      <x:c r="B133" s="94" t="str">
        <x:f>IFERROR(INDEX(Employees!$A$2:$A$500,MATCH(A133,Employees!$B$2:$B$500,0)),"")</x:f>
      </x:c>
      <x:c r="C133" s="45"/>
      <x:c r="D133" s="43" t="str">
        <x:f>IFERROR(VLOOKUP(C133,Employees!$A$2:$B$500,2,FALSE),"")</x:f>
      </x:c>
      <x:c r="E133" s="42"/>
      <x:c r="F133" s="105"/>
      <x:c r="G133" s="106"/>
    </x:row>
    <x:row r="134" ht="22" customHeight="1">
      <x:c r="A134" s="92" t="str"/>
      <x:c r="B134" s="94" t="str">
        <x:f>IFERROR(INDEX(Employees!$A$2:$A$500,MATCH(A134,Employees!$B$2:$B$500,0)),"")</x:f>
      </x:c>
      <x:c r="C134" s="45"/>
      <x:c r="D134" s="43" t="str">
        <x:f>IFERROR(VLOOKUP(C134,Employees!$A$2:$B$500,2,FALSE),"")</x:f>
      </x:c>
      <x:c r="E134" s="42"/>
      <x:c r="F134" s="105"/>
      <x:c r="G134" s="106"/>
    </x:row>
    <x:row r="135" ht="22" customHeight="1">
      <x:c r="A135" s="92" t="str"/>
      <x:c r="B135" s="94" t="str">
        <x:f>IFERROR(INDEX(Employees!$A$2:$A$500,MATCH(A135,Employees!$B$2:$B$500,0)),"")</x:f>
      </x:c>
      <x:c r="C135" s="45"/>
      <x:c r="D135" s="43" t="str">
        <x:f>IFERROR(VLOOKUP(C135,Employees!$A$2:$B$500,2,FALSE),"")</x:f>
      </x:c>
      <x:c r="E135" s="42"/>
      <x:c r="F135" s="105"/>
      <x:c r="G135" s="106"/>
    </x:row>
    <x:row r="136" ht="22" customHeight="1">
      <x:c r="A136" s="92" t="str"/>
      <x:c r="B136" s="94" t="str">
        <x:f>IFERROR(INDEX(Employees!$A$2:$A$500,MATCH(A136,Employees!$B$2:$B$500,0)),"")</x:f>
      </x:c>
      <x:c r="C136" s="45"/>
      <x:c r="D136" s="43" t="str">
        <x:f>IFERROR(VLOOKUP(C136,Employees!$A$2:$B$500,2,FALSE),"")</x:f>
      </x:c>
      <x:c r="E136" s="42"/>
      <x:c r="F136" s="105"/>
      <x:c r="G136" s="106"/>
    </x:row>
    <x:row r="137" ht="22" customHeight="1">
      <x:c r="A137" s="92" t="str"/>
      <x:c r="B137" s="94" t="str">
        <x:f>IFERROR(INDEX(Employees!$A$2:$A$500,MATCH(A137,Employees!$B$2:$B$500,0)),"")</x:f>
      </x:c>
      <x:c r="C137" s="45"/>
      <x:c r="D137" s="43" t="str">
        <x:f>IFERROR(VLOOKUP(C137,Employees!$A$2:$B$500,2,FALSE),"")</x:f>
      </x:c>
      <x:c r="E137" s="42"/>
      <x:c r="F137" s="105"/>
      <x:c r="G137" s="106"/>
    </x:row>
    <x:row r="138" ht="22" customHeight="1">
      <x:c r="A138" s="92" t="str"/>
      <x:c r="B138" s="94" t="str">
        <x:f>IFERROR(INDEX(Employees!$A$2:$A$500,MATCH(A138,Employees!$B$2:$B$500,0)),"")</x:f>
      </x:c>
      <x:c r="C138" s="45"/>
      <x:c r="D138" s="43" t="str">
        <x:f>IFERROR(VLOOKUP(C138,Employees!$A$2:$B$500,2,FALSE),"")</x:f>
      </x:c>
      <x:c r="E138" s="42"/>
      <x:c r="F138" s="105"/>
      <x:c r="G138" s="106"/>
    </x:row>
    <x:row r="139" ht="22" customHeight="1">
      <x:c r="A139" s="92" t="str"/>
      <x:c r="B139" s="94" t="str">
        <x:f>IFERROR(INDEX(Employees!$A$2:$A$500,MATCH(A139,Employees!$B$2:$B$500,0)),"")</x:f>
      </x:c>
      <x:c r="C139" s="45"/>
      <x:c r="D139" s="43" t="str">
        <x:f>IFERROR(VLOOKUP(C139,Employees!$A$2:$B$500,2,FALSE),"")</x:f>
      </x:c>
      <x:c r="E139" s="42"/>
      <x:c r="F139" s="105"/>
      <x:c r="G139" s="106"/>
    </x:row>
    <x:row r="140" ht="22" customHeight="1">
      <x:c r="A140" s="92" t="str"/>
      <x:c r="B140" s="94" t="str">
        <x:f>IFERROR(INDEX(Employees!$A$2:$A$500,MATCH(A140,Employees!$B$2:$B$500,0)),"")</x:f>
      </x:c>
      <x:c r="C140" s="45"/>
      <x:c r="D140" s="43" t="str">
        <x:f>IFERROR(VLOOKUP(C140,Employees!$A$2:$B$500,2,FALSE),"")</x:f>
      </x:c>
      <x:c r="E140" s="42"/>
      <x:c r="F140" s="105"/>
      <x:c r="G140" s="106"/>
    </x:row>
    <x:row r="141" ht="22" customHeight="1">
      <x:c r="A141" s="92" t="str"/>
      <x:c r="B141" s="94" t="str">
        <x:f>IFERROR(INDEX(Employees!$A$2:$A$500,MATCH(A141,Employees!$B$2:$B$500,0)),"")</x:f>
      </x:c>
      <x:c r="C141" s="45"/>
      <x:c r="D141" s="43" t="str">
        <x:f>IFERROR(VLOOKUP(C141,Employees!$A$2:$B$500,2,FALSE),"")</x:f>
      </x:c>
      <x:c r="E141" s="42"/>
      <x:c r="F141" s="105"/>
      <x:c r="G141" s="106"/>
    </x:row>
    <x:row r="142" ht="22" customHeight="1">
      <x:c r="A142" s="92" t="str"/>
      <x:c r="B142" s="94" t="str">
        <x:f>IFERROR(INDEX(Employees!$A$2:$A$500,MATCH(A142,Employees!$B$2:$B$500,0)),"")</x:f>
      </x:c>
      <x:c r="C142" s="45"/>
      <x:c r="D142" s="43" t="str">
        <x:f>IFERROR(VLOOKUP(C142,Employees!$A$2:$B$500,2,FALSE),"")</x:f>
      </x:c>
      <x:c r="E142" s="42"/>
      <x:c r="F142" s="105"/>
      <x:c r="G142" s="106"/>
    </x:row>
    <x:row r="143" ht="22" customHeight="1">
      <x:c r="A143" s="92" t="str"/>
      <x:c r="B143" s="94" t="str">
        <x:f>IFERROR(INDEX(Employees!$A$2:$A$500,MATCH(A143,Employees!$B$2:$B$500,0)),"")</x:f>
      </x:c>
      <x:c r="C143" s="45"/>
      <x:c r="D143" s="43" t="str">
        <x:f>IFERROR(VLOOKUP(C143,Employees!$A$2:$B$500,2,FALSE),"")</x:f>
      </x:c>
      <x:c r="E143" s="42"/>
      <x:c r="F143" s="105"/>
      <x:c r="G143" s="106"/>
    </x:row>
    <x:row r="144" ht="22" customHeight="1">
      <x:c r="A144" s="92" t="str"/>
      <x:c r="B144" s="94" t="str">
        <x:f>IFERROR(INDEX(Employees!$A$2:$A$500,MATCH(A144,Employees!$B$2:$B$500,0)),"")</x:f>
      </x:c>
      <x:c r="C144" s="45"/>
      <x:c r="D144" s="43" t="str">
        <x:f>IFERROR(VLOOKUP(C144,Employees!$A$2:$B$500,2,FALSE),"")</x:f>
      </x:c>
      <x:c r="E144" s="42"/>
      <x:c r="F144" s="105"/>
      <x:c r="G144" s="106"/>
    </x:row>
    <x:row r="145" ht="22" customHeight="1">
      <x:c r="A145" s="92" t="str"/>
      <x:c r="B145" s="94" t="str">
        <x:f>IFERROR(INDEX(Employees!$A$2:$A$500,MATCH(A145,Employees!$B$2:$B$500,0)),"")</x:f>
      </x:c>
      <x:c r="C145" s="45"/>
      <x:c r="D145" s="43" t="str">
        <x:f>IFERROR(VLOOKUP(C145,Employees!$A$2:$B$500,2,FALSE),"")</x:f>
      </x:c>
      <x:c r="E145" s="42"/>
      <x:c r="F145" s="105"/>
      <x:c r="G145" s="106"/>
    </x:row>
    <x:row r="146" ht="22" customHeight="1">
      <x:c r="A146" s="92" t="str"/>
      <x:c r="B146" s="94" t="str">
        <x:f>IFERROR(INDEX(Employees!$A$2:$A$500,MATCH(A146,Employees!$B$2:$B$500,0)),"")</x:f>
      </x:c>
      <x:c r="C146" s="45"/>
      <x:c r="D146" s="43" t="str">
        <x:f>IFERROR(VLOOKUP(C146,Employees!$A$2:$B$500,2,FALSE),"")</x:f>
      </x:c>
      <x:c r="E146" s="42"/>
      <x:c r="F146" s="105"/>
      <x:c r="G146" s="106"/>
    </x:row>
    <x:row r="147" ht="22" customHeight="1">
      <x:c r="A147" s="92" t="str"/>
      <x:c r="B147" s="94" t="str">
        <x:f>IFERROR(INDEX(Employees!$A$2:$A$500,MATCH(A147,Employees!$B$2:$B$500,0)),"")</x:f>
      </x:c>
      <x:c r="C147" s="45"/>
      <x:c r="D147" s="43" t="str">
        <x:f>IFERROR(VLOOKUP(C147,Employees!$A$2:$B$500,2,FALSE),"")</x:f>
      </x:c>
      <x:c r="E147" s="42"/>
      <x:c r="F147" s="105"/>
      <x:c r="G147" s="106"/>
    </x:row>
    <x:row r="148" ht="22" customHeight="1">
      <x:c r="A148" s="92" t="str"/>
      <x:c r="B148" s="94" t="str">
        <x:f>IFERROR(INDEX(Employees!$A$2:$A$500,MATCH(A148,Employees!$B$2:$B$500,0)),"")</x:f>
      </x:c>
      <x:c r="C148" s="45"/>
      <x:c r="D148" s="43" t="str">
        <x:f>IFERROR(VLOOKUP(C148,Employees!$A$2:$B$500,2,FALSE),"")</x:f>
      </x:c>
      <x:c r="E148" s="42"/>
      <x:c r="F148" s="105"/>
      <x:c r="G148" s="106"/>
    </x:row>
    <x:row r="149" ht="22" customHeight="1">
      <x:c r="A149" s="92" t="str"/>
      <x:c r="B149" s="94" t="str">
        <x:f>IFERROR(INDEX(Employees!$A$2:$A$500,MATCH(A149,Employees!$B$2:$B$500,0)),"")</x:f>
      </x:c>
      <x:c r="C149" s="45"/>
      <x:c r="D149" s="43" t="str">
        <x:f>IFERROR(VLOOKUP(C149,Employees!$A$2:$B$500,2,FALSE),"")</x:f>
      </x:c>
      <x:c r="E149" s="42"/>
      <x:c r="F149" s="105"/>
      <x:c r="G149" s="106"/>
    </x:row>
    <x:row r="150" ht="22" customHeight="1">
      <x:c r="A150" s="92" t="str"/>
      <x:c r="B150" s="94" t="str">
        <x:f>IFERROR(INDEX(Employees!$A$2:$A$500,MATCH(A150,Employees!$B$2:$B$500,0)),"")</x:f>
      </x:c>
      <x:c r="C150" s="45"/>
      <x:c r="D150" s="43" t="str">
        <x:f>IFERROR(VLOOKUP(C150,Employees!$A$2:$B$500,2,FALSE),"")</x:f>
      </x:c>
      <x:c r="E150" s="42"/>
      <x:c r="F150" s="105"/>
      <x:c r="G150" s="106"/>
    </x:row>
    <x:row r="151" ht="22" customHeight="1">
      <x:c r="A151" s="92" t="str"/>
      <x:c r="B151" s="94" t="str">
        <x:f>IFERROR(INDEX(Employees!$A$2:$A$500,MATCH(A151,Employees!$B$2:$B$500,0)),"")</x:f>
      </x:c>
      <x:c r="C151" s="45"/>
      <x:c r="D151" s="43" t="str">
        <x:f>IFERROR(VLOOKUP(C151,Employees!$A$2:$B$500,2,FALSE),"")</x:f>
      </x:c>
      <x:c r="E151" s="42"/>
      <x:c r="F151" s="105"/>
      <x:c r="G151" s="106"/>
    </x:row>
    <x:row r="152" ht="22" customHeight="1">
      <x:c r="A152" s="92" t="str"/>
      <x:c r="B152" s="94" t="str">
        <x:f>IFERROR(INDEX(Employees!$A$2:$A$500,MATCH(A152,Employees!$B$2:$B$500,0)),"")</x:f>
      </x:c>
      <x:c r="C152" s="45"/>
      <x:c r="D152" s="43" t="str">
        <x:f>IFERROR(VLOOKUP(C152,Employees!$A$2:$B$500,2,FALSE),"")</x:f>
      </x:c>
      <x:c r="E152" s="42"/>
      <x:c r="F152" s="105"/>
      <x:c r="G152" s="106"/>
    </x:row>
    <x:row r="153" ht="22" customHeight="1">
      <x:c r="A153" s="92" t="str"/>
      <x:c r="B153" s="94" t="str">
        <x:f>IFERROR(INDEX(Employees!$A$2:$A$500,MATCH(A153,Employees!$B$2:$B$500,0)),"")</x:f>
      </x:c>
      <x:c r="C153" s="45"/>
      <x:c r="D153" s="43" t="str">
        <x:f>IFERROR(VLOOKUP(C153,Employees!$A$2:$B$500,2,FALSE),"")</x:f>
      </x:c>
      <x:c r="E153" s="42"/>
      <x:c r="F153" s="105"/>
      <x:c r="G153" s="106"/>
    </x:row>
    <x:row r="154" ht="22" customHeight="1">
      <x:c r="A154" s="92" t="str"/>
      <x:c r="B154" s="94" t="str">
        <x:f>IFERROR(INDEX(Employees!$A$2:$A$500,MATCH(A154,Employees!$B$2:$B$500,0)),"")</x:f>
      </x:c>
      <x:c r="C154" s="45"/>
      <x:c r="D154" s="43" t="str">
        <x:f>IFERROR(VLOOKUP(C154,Employees!$A$2:$B$500,2,FALSE),"")</x:f>
      </x:c>
      <x:c r="E154" s="42"/>
      <x:c r="F154" s="105"/>
      <x:c r="G154" s="106"/>
    </x:row>
    <x:row r="155" ht="22" customHeight="1">
      <x:c r="A155" s="92" t="str"/>
      <x:c r="B155" s="94" t="str">
        <x:f>IFERROR(INDEX(Employees!$A$2:$A$500,MATCH(A155,Employees!$B$2:$B$500,0)),"")</x:f>
      </x:c>
      <x:c r="C155" s="45"/>
      <x:c r="D155" s="43" t="str">
        <x:f>IFERROR(VLOOKUP(C155,Employees!$A$2:$B$500,2,FALSE),"")</x:f>
      </x:c>
      <x:c r="E155" s="42"/>
      <x:c r="F155" s="105"/>
      <x:c r="G155" s="106"/>
    </x:row>
    <x:row r="156" ht="22" customHeight="1">
      <x:c r="A156" s="92" t="str"/>
      <x:c r="B156" s="94" t="str">
        <x:f>IFERROR(INDEX(Employees!$A$2:$A$500,MATCH(A156,Employees!$B$2:$B$500,0)),"")</x:f>
      </x:c>
      <x:c r="C156" s="45"/>
      <x:c r="D156" s="43" t="str">
        <x:f>IFERROR(VLOOKUP(C156,Employees!$A$2:$B$500,2,FALSE),"")</x:f>
      </x:c>
      <x:c r="E156" s="42"/>
      <x:c r="F156" s="105"/>
      <x:c r="G156" s="106"/>
    </x:row>
    <x:row r="157" ht="22" customHeight="1">
      <x:c r="A157" s="92" t="str"/>
      <x:c r="B157" s="94" t="str">
        <x:f>IFERROR(INDEX(Employees!$A$2:$A$500,MATCH(A157,Employees!$B$2:$B$500,0)),"")</x:f>
      </x:c>
      <x:c r="C157" s="45"/>
      <x:c r="D157" s="43" t="str">
        <x:f>IFERROR(VLOOKUP(C157,Employees!$A$2:$B$500,2,FALSE),"")</x:f>
      </x:c>
      <x:c r="E157" s="42"/>
      <x:c r="F157" s="105"/>
      <x:c r="G157" s="106"/>
    </x:row>
    <x:row r="158" ht="22" customHeight="1">
      <x:c r="A158" s="92" t="str"/>
      <x:c r="B158" s="94" t="str">
        <x:f>IFERROR(INDEX(Employees!$A$2:$A$500,MATCH(A158,Employees!$B$2:$B$500,0)),"")</x:f>
      </x:c>
      <x:c r="C158" s="45"/>
      <x:c r="D158" s="43" t="str">
        <x:f>IFERROR(VLOOKUP(C158,Employees!$A$2:$B$500,2,FALSE),"")</x:f>
      </x:c>
      <x:c r="E158" s="42"/>
      <x:c r="F158" s="105"/>
      <x:c r="G158" s="106"/>
    </x:row>
    <x:row r="159" ht="22" customHeight="1">
      <x:c r="A159" s="92" t="str"/>
      <x:c r="B159" s="94" t="str">
        <x:f>IFERROR(INDEX(Employees!$A$2:$A$500,MATCH(A159,Employees!$B$2:$B$500,0)),"")</x:f>
      </x:c>
      <x:c r="C159" s="45"/>
      <x:c r="D159" s="43" t="str">
        <x:f>IFERROR(VLOOKUP(C159,Employees!$A$2:$B$500,2,FALSE),"")</x:f>
      </x:c>
      <x:c r="E159" s="42"/>
      <x:c r="F159" s="105"/>
      <x:c r="G159" s="106"/>
    </x:row>
    <x:row r="160" ht="22" customHeight="1">
      <x:c r="A160" s="92" t="str"/>
      <x:c r="B160" s="94" t="str">
        <x:f>IFERROR(INDEX(Employees!$A$2:$A$500,MATCH(A160,Employees!$B$2:$B$500,0)),"")</x:f>
      </x:c>
      <x:c r="C160" s="45"/>
      <x:c r="D160" s="43" t="str">
        <x:f>IFERROR(VLOOKUP(C160,Employees!$A$2:$B$500,2,FALSE),"")</x:f>
      </x:c>
      <x:c r="E160" s="42"/>
      <x:c r="F160" s="105"/>
      <x:c r="G160" s="106"/>
    </x:row>
    <x:row r="161" ht="22" customHeight="1">
      <x:c r="A161" s="92" t="str"/>
      <x:c r="B161" s="94" t="str">
        <x:f>IFERROR(INDEX(Employees!$A$2:$A$500,MATCH(A161,Employees!$B$2:$B$500,0)),"")</x:f>
      </x:c>
      <x:c r="C161" s="45"/>
      <x:c r="D161" s="43" t="str">
        <x:f>IFERROR(VLOOKUP(C161,Employees!$A$2:$B$500,2,FALSE),"")</x:f>
      </x:c>
      <x:c r="E161" s="42"/>
      <x:c r="F161" s="105"/>
      <x:c r="G161" s="106"/>
    </x:row>
    <x:row r="162" ht="22" customHeight="1">
      <x:c r="A162" s="92" t="str"/>
      <x:c r="B162" s="94" t="str">
        <x:f>IFERROR(INDEX(Employees!$A$2:$A$500,MATCH(A162,Employees!$B$2:$B$500,0)),"")</x:f>
      </x:c>
      <x:c r="C162" s="45"/>
      <x:c r="D162" s="43" t="str">
        <x:f>IFERROR(VLOOKUP(C162,Employees!$A$2:$B$500,2,FALSE),"")</x:f>
      </x:c>
      <x:c r="E162" s="42"/>
      <x:c r="F162" s="105"/>
      <x:c r="G162" s="106"/>
    </x:row>
    <x:row r="163" ht="22" customHeight="1">
      <x:c r="A163" s="92" t="str"/>
      <x:c r="B163" s="94" t="str">
        <x:f>IFERROR(INDEX(Employees!$A$2:$A$500,MATCH(A163,Employees!$B$2:$B$500,0)),"")</x:f>
      </x:c>
      <x:c r="C163" s="45"/>
      <x:c r="D163" s="43" t="str">
        <x:f>IFERROR(VLOOKUP(C163,Employees!$A$2:$B$500,2,FALSE),"")</x:f>
      </x:c>
      <x:c r="E163" s="42"/>
      <x:c r="F163" s="105"/>
      <x:c r="G163" s="106"/>
    </x:row>
    <x:row r="164" ht="22" customHeight="1">
      <x:c r="A164" s="92" t="str"/>
      <x:c r="B164" s="94" t="str">
        <x:f>IFERROR(INDEX(Employees!$A$2:$A$500,MATCH(A164,Employees!$B$2:$B$500,0)),"")</x:f>
      </x:c>
      <x:c r="C164" s="45"/>
      <x:c r="D164" s="43" t="str">
        <x:f>IFERROR(VLOOKUP(C164,Employees!$A$2:$B$500,2,FALSE),"")</x:f>
      </x:c>
      <x:c r="E164" s="42"/>
      <x:c r="F164" s="105"/>
      <x:c r="G164" s="106"/>
    </x:row>
    <x:row r="165" ht="22" customHeight="1">
      <x:c r="A165" s="92" t="str"/>
      <x:c r="B165" s="94" t="str">
        <x:f>IFERROR(INDEX(Employees!$A$2:$A$500,MATCH(A165,Employees!$B$2:$B$500,0)),"")</x:f>
      </x:c>
      <x:c r="C165" s="45"/>
      <x:c r="D165" s="43" t="str">
        <x:f>IFERROR(VLOOKUP(C165,Employees!$A$2:$B$500,2,FALSE),"")</x:f>
      </x:c>
      <x:c r="E165" s="42"/>
      <x:c r="F165" s="105"/>
      <x:c r="G165" s="106"/>
    </x:row>
    <x:row r="166" ht="22" customHeight="1">
      <x:c r="A166" s="92" t="str"/>
      <x:c r="B166" s="94" t="str">
        <x:f>IFERROR(INDEX(Employees!$A$2:$A$500,MATCH(A166,Employees!$B$2:$B$500,0)),"")</x:f>
      </x:c>
      <x:c r="C166" s="45"/>
      <x:c r="D166" s="43" t="str">
        <x:f>IFERROR(VLOOKUP(C166,Employees!$A$2:$B$500,2,FALSE),"")</x:f>
      </x:c>
      <x:c r="E166" s="42"/>
      <x:c r="F166" s="105"/>
      <x:c r="G166" s="106"/>
    </x:row>
    <x:row r="167" ht="22" customHeight="1">
      <x:c r="A167" s="92" t="str"/>
      <x:c r="B167" s="94" t="str">
        <x:f>IFERROR(INDEX(Employees!$A$2:$A$500,MATCH(A167,Employees!$B$2:$B$500,0)),"")</x:f>
      </x:c>
      <x:c r="C167" s="45"/>
      <x:c r="D167" s="43" t="str">
        <x:f>IFERROR(VLOOKUP(C167,Employees!$A$2:$B$500,2,FALSE),"")</x:f>
      </x:c>
      <x:c r="E167" s="42"/>
      <x:c r="F167" s="105"/>
      <x:c r="G167" s="106"/>
    </x:row>
    <x:row r="168" ht="22" customHeight="1">
      <x:c r="A168" s="92" t="str"/>
      <x:c r="B168" s="94" t="str">
        <x:f>IFERROR(INDEX(Employees!$A$2:$A$500,MATCH(A168,Employees!$B$2:$B$500,0)),"")</x:f>
      </x:c>
      <x:c r="C168" s="45"/>
      <x:c r="D168" s="43" t="str">
        <x:f>IFERROR(VLOOKUP(C168,Employees!$A$2:$B$500,2,FALSE),"")</x:f>
      </x:c>
      <x:c r="E168" s="42"/>
      <x:c r="F168" s="105"/>
      <x:c r="G168" s="106"/>
    </x:row>
    <x:row r="169" ht="22" customHeight="1">
      <x:c r="A169" s="92" t="str"/>
      <x:c r="B169" s="94" t="str">
        <x:f>IFERROR(INDEX(Employees!$A$2:$A$500,MATCH(A169,Employees!$B$2:$B$500,0)),"")</x:f>
      </x:c>
      <x:c r="C169" s="45"/>
      <x:c r="D169" s="43" t="str">
        <x:f>IFERROR(VLOOKUP(C169,Employees!$A$2:$B$500,2,FALSE),"")</x:f>
      </x:c>
      <x:c r="E169" s="42"/>
      <x:c r="F169" s="105"/>
      <x:c r="G169" s="106"/>
    </x:row>
    <x:row r="170" ht="22" customHeight="1">
      <x:c r="A170" s="92" t="str"/>
      <x:c r="B170" s="94" t="str">
        <x:f>IFERROR(INDEX(Employees!$A$2:$A$500,MATCH(A170,Employees!$B$2:$B$500,0)),"")</x:f>
      </x:c>
      <x:c r="C170" s="45"/>
      <x:c r="D170" s="43" t="str">
        <x:f>IFERROR(VLOOKUP(C170,Employees!$A$2:$B$500,2,FALSE),"")</x:f>
      </x:c>
      <x:c r="E170" s="42"/>
      <x:c r="F170" s="105"/>
      <x:c r="G170" s="106"/>
    </x:row>
    <x:row r="171" ht="22" customHeight="1">
      <x:c r="A171" s="92" t="str"/>
      <x:c r="B171" s="94" t="str">
        <x:f>IFERROR(INDEX(Employees!$A$2:$A$500,MATCH(A171,Employees!$B$2:$B$500,0)),"")</x:f>
      </x:c>
      <x:c r="C171" s="45"/>
      <x:c r="D171" s="43" t="str">
        <x:f>IFERROR(VLOOKUP(C171,Employees!$A$2:$B$500,2,FALSE),"")</x:f>
      </x:c>
      <x:c r="E171" s="42"/>
      <x:c r="F171" s="105"/>
      <x:c r="G171" s="106"/>
    </x:row>
    <x:row r="172" ht="22" customHeight="1">
      <x:c r="A172" s="92" t="str"/>
      <x:c r="B172" s="94" t="str">
        <x:f>IFERROR(INDEX(Employees!$A$2:$A$500,MATCH(A172,Employees!$B$2:$B$500,0)),"")</x:f>
      </x:c>
      <x:c r="C172" s="45"/>
      <x:c r="D172" s="43" t="str">
        <x:f>IFERROR(VLOOKUP(C172,Employees!$A$2:$B$500,2,FALSE),"")</x:f>
      </x:c>
      <x:c r="E172" s="42"/>
      <x:c r="F172" s="105"/>
      <x:c r="G172" s="106"/>
    </x:row>
    <x:row r="173" ht="22" customHeight="1">
      <x:c r="A173" s="92" t="str"/>
      <x:c r="B173" s="94" t="str">
        <x:f>IFERROR(INDEX(Employees!$A$2:$A$500,MATCH(A173,Employees!$B$2:$B$500,0)),"")</x:f>
      </x:c>
      <x:c r="C173" s="45"/>
      <x:c r="D173" s="43" t="str">
        <x:f>IFERROR(VLOOKUP(C173,Employees!$A$2:$B$500,2,FALSE),"")</x:f>
      </x:c>
      <x:c r="E173" s="42"/>
      <x:c r="F173" s="105"/>
      <x:c r="G173" s="106"/>
    </x:row>
    <x:row r="174" ht="22" customHeight="1">
      <x:c r="A174" s="92" t="str"/>
      <x:c r="B174" s="94" t="str">
        <x:f>IFERROR(INDEX(Employees!$A$2:$A$500,MATCH(A174,Employees!$B$2:$B$500,0)),"")</x:f>
      </x:c>
      <x:c r="C174" s="45"/>
      <x:c r="D174" s="43" t="str">
        <x:f>IFERROR(VLOOKUP(C174,Employees!$A$2:$B$500,2,FALSE),"")</x:f>
      </x:c>
      <x:c r="E174" s="42"/>
      <x:c r="F174" s="105"/>
      <x:c r="G174" s="106"/>
    </x:row>
    <x:row r="175" ht="22" customHeight="1">
      <x:c r="A175" s="92" t="str"/>
      <x:c r="B175" s="94" t="str">
        <x:f>IFERROR(INDEX(Employees!$A$2:$A$500,MATCH(A175,Employees!$B$2:$B$500,0)),"")</x:f>
      </x:c>
      <x:c r="C175" s="45"/>
      <x:c r="D175" s="43" t="str">
        <x:f>IFERROR(VLOOKUP(C175,Employees!$A$2:$B$500,2,FALSE),"")</x:f>
      </x:c>
      <x:c r="E175" s="42"/>
      <x:c r="F175" s="105"/>
      <x:c r="G175" s="106"/>
    </x:row>
    <x:row r="176" ht="22" customHeight="1">
      <x:c r="A176" s="92" t="str"/>
      <x:c r="B176" s="94" t="str">
        <x:f>IFERROR(INDEX(Employees!$A$2:$A$500,MATCH(A176,Employees!$B$2:$B$500,0)),"")</x:f>
      </x:c>
      <x:c r="C176" s="45"/>
      <x:c r="D176" s="43" t="str">
        <x:f>IFERROR(VLOOKUP(C176,Employees!$A$2:$B$500,2,FALSE),"")</x:f>
      </x:c>
      <x:c r="E176" s="42"/>
      <x:c r="F176" s="105"/>
      <x:c r="G176" s="106"/>
    </x:row>
    <x:row r="177" ht="22" customHeight="1">
      <x:c r="A177" s="92" t="str"/>
      <x:c r="B177" s="94" t="str">
        <x:f>IFERROR(INDEX(Employees!$A$2:$A$500,MATCH(A177,Employees!$B$2:$B$500,0)),"")</x:f>
      </x:c>
      <x:c r="C177" s="45"/>
      <x:c r="D177" s="43" t="str">
        <x:f>IFERROR(VLOOKUP(C177,Employees!$A$2:$B$500,2,FALSE),"")</x:f>
      </x:c>
      <x:c r="E177" s="42"/>
      <x:c r="F177" s="105"/>
      <x:c r="G177" s="106"/>
    </x:row>
    <x:row r="178" ht="22" customHeight="1">
      <x:c r="A178" s="92" t="str"/>
      <x:c r="B178" s="94" t="str">
        <x:f>IFERROR(INDEX(Employees!$A$2:$A$500,MATCH(A178,Employees!$B$2:$B$500,0)),"")</x:f>
      </x:c>
      <x:c r="C178" s="45"/>
      <x:c r="D178" s="43" t="str">
        <x:f>IFERROR(VLOOKUP(C178,Employees!$A$2:$B$500,2,FALSE),"")</x:f>
      </x:c>
      <x:c r="E178" s="42"/>
      <x:c r="F178" s="105"/>
      <x:c r="G178" s="106"/>
    </x:row>
    <x:row r="179" ht="22" customHeight="1">
      <x:c r="A179" s="92" t="str"/>
      <x:c r="B179" s="94" t="str">
        <x:f>IFERROR(INDEX(Employees!$A$2:$A$500,MATCH(A179,Employees!$B$2:$B$500,0)),"")</x:f>
      </x:c>
      <x:c r="C179" s="45"/>
      <x:c r="D179" s="43" t="str">
        <x:f>IFERROR(VLOOKUP(C179,Employees!$A$2:$B$500,2,FALSE),"")</x:f>
      </x:c>
      <x:c r="E179" s="42"/>
      <x:c r="F179" s="105"/>
      <x:c r="G179" s="106"/>
    </x:row>
    <x:row r="180" ht="22" customHeight="1">
      <x:c r="A180" s="92" t="str"/>
      <x:c r="B180" s="94" t="str">
        <x:f>IFERROR(INDEX(Employees!$A$2:$A$500,MATCH(A180,Employees!$B$2:$B$500,0)),"")</x:f>
      </x:c>
      <x:c r="C180" s="45"/>
      <x:c r="D180" s="43" t="str">
        <x:f>IFERROR(VLOOKUP(C180,Employees!$A$2:$B$500,2,FALSE),"")</x:f>
      </x:c>
      <x:c r="E180" s="42"/>
      <x:c r="F180" s="105"/>
      <x:c r="G180" s="106"/>
    </x:row>
    <x:row r="181" ht="22" customHeight="1">
      <x:c r="A181" s="92" t="str"/>
      <x:c r="B181" s="94" t="str">
        <x:f>IFERROR(INDEX(Employees!$A$2:$A$500,MATCH(A181,Employees!$B$2:$B$500,0)),"")</x:f>
      </x:c>
      <x:c r="C181" s="45"/>
      <x:c r="D181" s="43" t="str">
        <x:f>IFERROR(VLOOKUP(C181,Employees!$A$2:$B$500,2,FALSE),"")</x:f>
      </x:c>
      <x:c r="E181" s="42"/>
      <x:c r="F181" s="105"/>
      <x:c r="G181" s="106"/>
    </x:row>
    <x:row r="182" ht="22" customHeight="1">
      <x:c r="A182" s="92" t="str"/>
      <x:c r="B182" s="94" t="str">
        <x:f>IFERROR(INDEX(Employees!$A$2:$A$500,MATCH(A182,Employees!$B$2:$B$500,0)),"")</x:f>
      </x:c>
      <x:c r="C182" s="45"/>
      <x:c r="D182" s="43" t="str">
        <x:f>IFERROR(VLOOKUP(C182,Employees!$A$2:$B$500,2,FALSE),"")</x:f>
      </x:c>
      <x:c r="E182" s="42"/>
      <x:c r="F182" s="105"/>
      <x:c r="G182" s="106"/>
    </x:row>
    <x:row r="183" ht="22" customHeight="1">
      <x:c r="A183" s="92" t="str"/>
      <x:c r="B183" s="94" t="str">
        <x:f>IFERROR(INDEX(Employees!$A$2:$A$500,MATCH(A183,Employees!$B$2:$B$500,0)),"")</x:f>
      </x:c>
      <x:c r="C183" s="45"/>
      <x:c r="D183" s="43" t="str">
        <x:f>IFERROR(VLOOKUP(C183,Employees!$A$2:$B$500,2,FALSE),"")</x:f>
      </x:c>
      <x:c r="E183" s="42"/>
      <x:c r="F183" s="105"/>
      <x:c r="G183" s="106"/>
    </x:row>
    <x:row r="184" ht="22" customHeight="1">
      <x:c r="A184" s="92" t="str"/>
      <x:c r="B184" s="94" t="str">
        <x:f>IFERROR(INDEX(Employees!$A$2:$A$500,MATCH(A184,Employees!$B$2:$B$500,0)),"")</x:f>
      </x:c>
      <x:c r="C184" s="45"/>
      <x:c r="D184" s="43" t="str">
        <x:f>IFERROR(VLOOKUP(C184,Employees!$A$2:$B$500,2,FALSE),"")</x:f>
      </x:c>
      <x:c r="E184" s="42"/>
      <x:c r="F184" s="105"/>
      <x:c r="G184" s="106"/>
    </x:row>
    <x:row r="185" ht="22" customHeight="1">
      <x:c r="A185" s="92" t="str"/>
      <x:c r="B185" s="94" t="str">
        <x:f>IFERROR(INDEX(Employees!$A$2:$A$500,MATCH(A185,Employees!$B$2:$B$500,0)),"")</x:f>
      </x:c>
      <x:c r="C185" s="45"/>
      <x:c r="D185" s="43" t="str">
        <x:f>IFERROR(VLOOKUP(C185,Employees!$A$2:$B$500,2,FALSE),"")</x:f>
      </x:c>
      <x:c r="E185" s="42"/>
      <x:c r="F185" s="105"/>
      <x:c r="G185" s="106"/>
    </x:row>
    <x:row r="186" ht="22" customHeight="1">
      <x:c r="A186" s="92" t="str"/>
      <x:c r="B186" s="94" t="str">
        <x:f>IFERROR(INDEX(Employees!$A$2:$A$500,MATCH(A186,Employees!$B$2:$B$500,0)),"")</x:f>
      </x:c>
      <x:c r="C186" s="45"/>
      <x:c r="D186" s="43" t="str">
        <x:f>IFERROR(VLOOKUP(C186,Employees!$A$2:$B$500,2,FALSE),"")</x:f>
      </x:c>
      <x:c r="E186" s="42"/>
      <x:c r="F186" s="105"/>
      <x:c r="G186" s="106"/>
    </x:row>
    <x:row r="187" ht="22" customHeight="1">
      <x:c r="A187" s="92" t="str"/>
      <x:c r="B187" s="94" t="str">
        <x:f>IFERROR(INDEX(Employees!$A$2:$A$500,MATCH(A187,Employees!$B$2:$B$500,0)),"")</x:f>
      </x:c>
      <x:c r="C187" s="45"/>
      <x:c r="D187" s="43" t="str">
        <x:f>IFERROR(VLOOKUP(C187,Employees!$A$2:$B$500,2,FALSE),"")</x:f>
      </x:c>
      <x:c r="E187" s="42"/>
      <x:c r="F187" s="105"/>
      <x:c r="G187" s="106"/>
    </x:row>
    <x:row r="188" ht="22" customHeight="1">
      <x:c r="A188" s="92" t="str"/>
      <x:c r="B188" s="94" t="str">
        <x:f>IFERROR(INDEX(Employees!$A$2:$A$500,MATCH(A188,Employees!$B$2:$B$500,0)),"")</x:f>
      </x:c>
      <x:c r="C188" s="45"/>
      <x:c r="D188" s="43" t="str">
        <x:f>IFERROR(VLOOKUP(C188,Employees!$A$2:$B$500,2,FALSE),"")</x:f>
      </x:c>
      <x:c r="E188" s="42"/>
      <x:c r="F188" s="105"/>
      <x:c r="G188" s="106"/>
    </x:row>
    <x:row r="189" ht="22" customHeight="1">
      <x:c r="A189" s="92" t="str"/>
      <x:c r="B189" s="94" t="str">
        <x:f>IFERROR(INDEX(Employees!$A$2:$A$500,MATCH(A189,Employees!$B$2:$B$500,0)),"")</x:f>
      </x:c>
      <x:c r="C189" s="45"/>
      <x:c r="D189" s="43" t="str">
        <x:f>IFERROR(VLOOKUP(C189,Employees!$A$2:$B$500,2,FALSE),"")</x:f>
      </x:c>
      <x:c r="E189" s="42"/>
      <x:c r="F189" s="105"/>
      <x:c r="G189" s="106"/>
    </x:row>
    <x:row r="190" ht="22" customHeight="1">
      <x:c r="A190" s="92" t="str"/>
      <x:c r="B190" s="94" t="str">
        <x:f>IFERROR(INDEX(Employees!$A$2:$A$500,MATCH(A190,Employees!$B$2:$B$500,0)),"")</x:f>
      </x:c>
      <x:c r="C190" s="45"/>
      <x:c r="D190" s="43" t="str">
        <x:f>IFERROR(VLOOKUP(C190,Employees!$A$2:$B$500,2,FALSE),"")</x:f>
      </x:c>
      <x:c r="E190" s="42"/>
      <x:c r="F190" s="105"/>
      <x:c r="G190" s="106"/>
    </x:row>
    <x:row r="191" ht="22" customHeight="1">
      <x:c r="A191" s="92" t="str"/>
      <x:c r="B191" s="94" t="str">
        <x:f>IFERROR(INDEX(Employees!$A$2:$A$500,MATCH(A191,Employees!$B$2:$B$500,0)),"")</x:f>
      </x:c>
      <x:c r="C191" s="45"/>
      <x:c r="D191" s="43" t="str">
        <x:f>IFERROR(VLOOKUP(C191,Employees!$A$2:$B$500,2,FALSE),"")</x:f>
      </x:c>
      <x:c r="E191" s="42"/>
      <x:c r="F191" s="105"/>
      <x:c r="G191" s="106"/>
    </x:row>
    <x:row r="192" ht="22" customHeight="1">
      <x:c r="A192" s="92" t="str"/>
      <x:c r="B192" s="94" t="str">
        <x:f>IFERROR(INDEX(Employees!$A$2:$A$500,MATCH(A192,Employees!$B$2:$B$500,0)),"")</x:f>
      </x:c>
      <x:c r="C192" s="45"/>
      <x:c r="D192" s="43" t="str">
        <x:f>IFERROR(VLOOKUP(C192,Employees!$A$2:$B$500,2,FALSE),"")</x:f>
      </x:c>
      <x:c r="E192" s="42"/>
      <x:c r="F192" s="105"/>
      <x:c r="G192" s="106"/>
    </x:row>
    <x:row r="193" ht="22" customHeight="1">
      <x:c r="A193" s="92" t="str"/>
      <x:c r="B193" s="94" t="str">
        <x:f>IFERROR(INDEX(Employees!$A$2:$A$500,MATCH(A193,Employees!$B$2:$B$500,0)),"")</x:f>
      </x:c>
      <x:c r="C193" s="45"/>
      <x:c r="D193" s="43" t="str">
        <x:f>IFERROR(VLOOKUP(C193,Employees!$A$2:$B$500,2,FALSE),"")</x:f>
      </x:c>
      <x:c r="E193" s="42"/>
      <x:c r="F193" s="105"/>
      <x:c r="G193" s="106"/>
    </x:row>
    <x:row r="194" ht="22" customHeight="1">
      <x:c r="A194" s="92" t="str"/>
      <x:c r="B194" s="94" t="str">
        <x:f>IFERROR(INDEX(Employees!$A$2:$A$500,MATCH(A194,Employees!$B$2:$B$500,0)),"")</x:f>
      </x:c>
      <x:c r="C194" s="45"/>
      <x:c r="D194" s="43" t="str">
        <x:f>IFERROR(VLOOKUP(C194,Employees!$A$2:$B$500,2,FALSE),"")</x:f>
      </x:c>
      <x:c r="E194" s="42"/>
      <x:c r="F194" s="105"/>
      <x:c r="G194" s="106"/>
    </x:row>
    <x:row r="195" ht="22" customHeight="1">
      <x:c r="A195" s="92" t="str"/>
      <x:c r="B195" s="94" t="str">
        <x:f>IFERROR(INDEX(Employees!$A$2:$A$500,MATCH(A195,Employees!$B$2:$B$500,0)),"")</x:f>
      </x:c>
      <x:c r="C195" s="45"/>
      <x:c r="D195" s="43" t="str">
        <x:f>IFERROR(VLOOKUP(C195,Employees!$A$2:$B$500,2,FALSE),"")</x:f>
      </x:c>
      <x:c r="E195" s="42"/>
      <x:c r="F195" s="105"/>
      <x:c r="G195" s="106"/>
    </x:row>
    <x:row r="196" ht="22" customHeight="1">
      <x:c r="A196" s="92" t="str"/>
      <x:c r="B196" s="94" t="str">
        <x:f>IFERROR(INDEX(Employees!$A$2:$A$500,MATCH(A196,Employees!$B$2:$B$500,0)),"")</x:f>
      </x:c>
      <x:c r="C196" s="45"/>
      <x:c r="D196" s="43" t="str">
        <x:f>IFERROR(VLOOKUP(C196,Employees!$A$2:$B$500,2,FALSE),"")</x:f>
      </x:c>
      <x:c r="E196" s="42"/>
      <x:c r="F196" s="105"/>
      <x:c r="G196" s="106"/>
    </x:row>
    <x:row r="197" ht="22" customHeight="1">
      <x:c r="A197" s="92" t="str"/>
      <x:c r="B197" s="94" t="str">
        <x:f>IFERROR(INDEX(Employees!$A$2:$A$500,MATCH(A197,Employees!$B$2:$B$500,0)),"")</x:f>
      </x:c>
      <x:c r="C197" s="45"/>
      <x:c r="D197" s="43" t="str">
        <x:f>IFERROR(VLOOKUP(C197,Employees!$A$2:$B$500,2,FALSE),"")</x:f>
      </x:c>
      <x:c r="E197" s="42"/>
      <x:c r="F197" s="105"/>
      <x:c r="G197" s="106"/>
    </x:row>
    <x:row r="198" ht="22" customHeight="1">
      <x:c r="A198" s="92" t="str"/>
      <x:c r="B198" s="94" t="str">
        <x:f>IFERROR(INDEX(Employees!$A$2:$A$500,MATCH(A198,Employees!$B$2:$B$500,0)),"")</x:f>
      </x:c>
      <x:c r="C198" s="45"/>
      <x:c r="D198" s="43" t="str">
        <x:f>IFERROR(VLOOKUP(C198,Employees!$A$2:$B$500,2,FALSE),"")</x:f>
      </x:c>
      <x:c r="E198" s="42"/>
      <x:c r="F198" s="105"/>
      <x:c r="G198" s="106"/>
    </x:row>
    <x:row r="199" ht="22" customHeight="1">
      <x:c r="A199" s="92" t="str"/>
      <x:c r="B199" s="94" t="str">
        <x:f>IFERROR(INDEX(Employees!$A$2:$A$500,MATCH(A199,Employees!$B$2:$B$500,0)),"")</x:f>
      </x:c>
      <x:c r="C199" s="45"/>
      <x:c r="D199" s="43" t="str">
        <x:f>IFERROR(VLOOKUP(C199,Employees!$A$2:$B$500,2,FALSE),"")</x:f>
      </x:c>
      <x:c r="E199" s="42"/>
      <x:c r="F199" s="105"/>
      <x:c r="G199" s="106"/>
    </x:row>
    <x:row r="200" ht="22" customHeight="1">
      <x:c r="A200" s="92" t="str"/>
      <x:c r="B200" s="94" t="str">
        <x:f>IFERROR(INDEX(Employees!$A$2:$A$500,MATCH(A200,Employees!$B$2:$B$500,0)),"")</x:f>
      </x:c>
      <x:c r="C200" s="45"/>
      <x:c r="D200" s="43" t="str">
        <x:f>IFERROR(VLOOKUP(C200,Employees!$A$2:$B$500,2,FALSE),"")</x:f>
      </x:c>
      <x:c r="E200" s="42"/>
      <x:c r="F200" s="105"/>
      <x:c r="G200" s="106"/>
    </x:row>
    <x:row r="201" ht="22" customHeight="1">
      <x:c r="A201" s="92" t="str"/>
      <x:c r="B201" s="94" t="str">
        <x:f>IFERROR(INDEX(Employees!$A$2:$A$500,MATCH(A201,Employees!$B$2:$B$500,0)),"")</x:f>
      </x:c>
      <x:c r="C201" s="45"/>
      <x:c r="D201" s="43" t="str">
        <x:f>IFERROR(VLOOKUP(C201,Employees!$A$2:$B$500,2,FALSE),"")</x:f>
      </x:c>
      <x:c r="E201" s="42"/>
      <x:c r="F201" s="105"/>
      <x:c r="G201" s="106"/>
    </x:row>
    <x:row r="202" ht="22" customHeight="1">
      <x:c r="A202" s="92" t="str"/>
      <x:c r="B202" s="94" t="str">
        <x:f>IFERROR(INDEX(Employees!$A$2:$A$500,MATCH(A202,Employees!$B$2:$B$500,0)),"")</x:f>
      </x:c>
      <x:c r="C202" s="45"/>
      <x:c r="D202" s="43" t="str">
        <x:f>IFERROR(VLOOKUP(C202,Employees!$A$2:$B$500,2,FALSE),"")</x:f>
      </x:c>
      <x:c r="E202" s="42"/>
      <x:c r="F202" s="105"/>
      <x:c r="G202" s="106"/>
    </x:row>
    <x:row r="203" ht="22" customHeight="1">
      <x:c r="A203" s="92" t="str"/>
      <x:c r="B203" s="94" t="str">
        <x:f>IFERROR(INDEX(Employees!$A$2:$A$500,MATCH(A203,Employees!$B$2:$B$500,0)),"")</x:f>
      </x:c>
      <x:c r="C203" s="45"/>
      <x:c r="D203" s="43" t="str">
        <x:f>IFERROR(VLOOKUP(C203,Employees!$A$2:$B$500,2,FALSE),"")</x:f>
      </x:c>
      <x:c r="E203" s="42"/>
      <x:c r="F203" s="105"/>
      <x:c r="G203" s="106"/>
    </x:row>
    <x:row r="204" ht="22" customHeight="1">
      <x:c r="A204" s="92" t="str"/>
      <x:c r="B204" s="94" t="str">
        <x:f>IFERROR(INDEX(Employees!$A$2:$A$500,MATCH(A204,Employees!$B$2:$B$500,0)),"")</x:f>
      </x:c>
      <x:c r="C204" s="45"/>
      <x:c r="D204" s="43" t="str">
        <x:f>IFERROR(VLOOKUP(C204,Employees!$A$2:$B$500,2,FALSE),"")</x:f>
      </x:c>
      <x:c r="E204" s="42"/>
      <x:c r="F204" s="105"/>
      <x:c r="G204" s="106"/>
    </x:row>
    <x:row r="205" ht="22" customHeight="1">
      <x:c r="A205" s="92" t="str"/>
      <x:c r="B205" s="94" t="str">
        <x:f>IFERROR(INDEX(Employees!$A$2:$A$500,MATCH(A205,Employees!$B$2:$B$500,0)),"")</x:f>
      </x:c>
      <x:c r="C205" s="45"/>
      <x:c r="D205" s="43" t="str">
        <x:f>IFERROR(VLOOKUP(C205,Employees!$A$2:$B$500,2,FALSE),"")</x:f>
      </x:c>
      <x:c r="E205" s="42"/>
      <x:c r="F205" s="105"/>
      <x:c r="G205" s="106"/>
    </x:row>
    <x:row r="206" ht="22" customHeight="1">
      <x:c r="A206" s="92" t="str"/>
      <x:c r="B206" s="94" t="str">
        <x:f>IFERROR(INDEX(Employees!$A$2:$A$500,MATCH(A206,Employees!$B$2:$B$500,0)),"")</x:f>
      </x:c>
      <x:c r="C206" s="45"/>
      <x:c r="D206" s="43" t="str">
        <x:f>IFERROR(VLOOKUP(C206,Employees!$A$2:$B$500,2,FALSE),"")</x:f>
      </x:c>
      <x:c r="E206" s="42"/>
      <x:c r="F206" s="105"/>
      <x:c r="G206" s="106"/>
    </x:row>
    <x:row r="207" ht="22" customHeight="1">
      <x:c r="A207" s="92" t="str"/>
      <x:c r="B207" s="94" t="str">
        <x:f>IFERROR(INDEX(Employees!$A$2:$A$500,MATCH(A207,Employees!$B$2:$B$500,0)),"")</x:f>
      </x:c>
      <x:c r="C207" s="45"/>
      <x:c r="D207" s="43" t="str">
        <x:f>IFERROR(VLOOKUP(C207,Employees!$A$2:$B$500,2,FALSE),"")</x:f>
      </x:c>
      <x:c r="E207" s="42"/>
      <x:c r="F207" s="105"/>
      <x:c r="G207" s="106"/>
    </x:row>
    <x:row r="208" ht="22" customHeight="1">
      <x:c r="A208" s="92" t="str"/>
      <x:c r="B208" s="94" t="str">
        <x:f>IFERROR(INDEX(Employees!$A$2:$A$500,MATCH(A208,Employees!$B$2:$B$500,0)),"")</x:f>
      </x:c>
      <x:c r="C208" s="45"/>
      <x:c r="D208" s="43" t="str">
        <x:f>IFERROR(VLOOKUP(C208,Employees!$A$2:$B$500,2,FALSE),"")</x:f>
      </x:c>
      <x:c r="E208" s="42"/>
      <x:c r="F208" s="105"/>
      <x:c r="G208" s="106"/>
    </x:row>
    <x:row r="209" ht="22" customHeight="1">
      <x:c r="A209" s="92" t="str"/>
      <x:c r="B209" s="94" t="str">
        <x:f>IFERROR(INDEX(Employees!$A$2:$A$500,MATCH(A209,Employees!$B$2:$B$500,0)),"")</x:f>
      </x:c>
      <x:c r="C209" s="45"/>
      <x:c r="D209" s="43" t="str">
        <x:f>IFERROR(VLOOKUP(C209,Employees!$A$2:$B$500,2,FALSE),"")</x:f>
      </x:c>
      <x:c r="E209" s="42"/>
      <x:c r="F209" s="105"/>
      <x:c r="G209" s="106"/>
    </x:row>
    <x:row r="210" ht="22" customHeight="1">
      <x:c r="A210" s="92" t="str"/>
      <x:c r="B210" s="94" t="str">
        <x:f>IFERROR(INDEX(Employees!$A$2:$A$500,MATCH(A210,Employees!$B$2:$B$500,0)),"")</x:f>
      </x:c>
      <x:c r="C210" s="45"/>
      <x:c r="D210" s="43" t="str">
        <x:f>IFERROR(VLOOKUP(C210,Employees!$A$2:$B$500,2,FALSE),"")</x:f>
      </x:c>
      <x:c r="E210" s="42"/>
      <x:c r="F210" s="105"/>
      <x:c r="G210" s="106"/>
    </x:row>
    <x:row r="211" ht="22" customHeight="1">
      <x:c r="A211" s="92" t="str"/>
      <x:c r="B211" s="94" t="str">
        <x:f>IFERROR(INDEX(Employees!$A$2:$A$500,MATCH(A211,Employees!$B$2:$B$500,0)),"")</x:f>
      </x:c>
      <x:c r="C211" s="45"/>
      <x:c r="D211" s="43" t="str">
        <x:f>IFERROR(VLOOKUP(C211,Employees!$A$2:$B$500,2,FALSE),"")</x:f>
      </x:c>
      <x:c r="E211" s="42"/>
      <x:c r="F211" s="105"/>
      <x:c r="G211" s="106"/>
    </x:row>
    <x:row r="212" ht="22" customHeight="1">
      <x:c r="A212" s="92" t="str"/>
      <x:c r="B212" s="94" t="str">
        <x:f>IFERROR(INDEX(Employees!$A$2:$A$500,MATCH(A212,Employees!$B$2:$B$500,0)),"")</x:f>
      </x:c>
      <x:c r="C212" s="45"/>
      <x:c r="D212" s="43" t="str">
        <x:f>IFERROR(VLOOKUP(C212,Employees!$A$2:$B$500,2,FALSE),"")</x:f>
      </x:c>
      <x:c r="E212" s="42"/>
      <x:c r="F212" s="105"/>
      <x:c r="G212" s="106"/>
    </x:row>
    <x:row r="213" ht="22" customHeight="1">
      <x:c r="A213" s="92" t="str"/>
      <x:c r="B213" s="94" t="str">
        <x:f>IFERROR(INDEX(Employees!$A$2:$A$500,MATCH(A213,Employees!$B$2:$B$500,0)),"")</x:f>
      </x:c>
      <x:c r="C213" s="45"/>
      <x:c r="D213" s="43" t="str">
        <x:f>IFERROR(VLOOKUP(C213,Employees!$A$2:$B$500,2,FALSE),"")</x:f>
      </x:c>
      <x:c r="E213" s="42"/>
      <x:c r="F213" s="105"/>
      <x:c r="G213" s="106"/>
    </x:row>
    <x:row r="214" ht="22" customHeight="1">
      <x:c r="A214" s="92" t="str"/>
      <x:c r="B214" s="94" t="str">
        <x:f>IFERROR(INDEX(Employees!$A$2:$A$500,MATCH(A214,Employees!$B$2:$B$500,0)),"")</x:f>
      </x:c>
      <x:c r="C214" s="45"/>
      <x:c r="D214" s="43" t="str">
        <x:f>IFERROR(VLOOKUP(C214,Employees!$A$2:$B$500,2,FALSE),"")</x:f>
      </x:c>
      <x:c r="E214" s="42"/>
      <x:c r="F214" s="105"/>
      <x:c r="G214" s="106"/>
    </x:row>
    <x:row r="215" ht="22" customHeight="1">
      <x:c r="A215" s="92" t="str"/>
      <x:c r="B215" s="94" t="str">
        <x:f>IFERROR(INDEX(Employees!$A$2:$A$500,MATCH(A215,Employees!$B$2:$B$500,0)),"")</x:f>
      </x:c>
      <x:c r="C215" s="45"/>
      <x:c r="D215" s="43" t="str">
        <x:f>IFERROR(VLOOKUP(C215,Employees!$A$2:$B$500,2,FALSE),"")</x:f>
      </x:c>
      <x:c r="E215" s="42"/>
      <x:c r="F215" s="105"/>
      <x:c r="G215" s="106"/>
    </x:row>
    <x:row r="216" ht="22" customHeight="1">
      <x:c r="A216" s="92" t="str"/>
      <x:c r="B216" s="94" t="str">
        <x:f>IFERROR(INDEX(Employees!$A$2:$A$500,MATCH(A216,Employees!$B$2:$B$500,0)),"")</x:f>
      </x:c>
      <x:c r="C216" s="45"/>
      <x:c r="D216" s="43" t="str">
        <x:f>IFERROR(VLOOKUP(C216,Employees!$A$2:$B$500,2,FALSE),"")</x:f>
      </x:c>
      <x:c r="E216" s="42"/>
      <x:c r="F216" s="105"/>
      <x:c r="G216" s="106"/>
    </x:row>
    <x:row r="217" ht="22" customHeight="1">
      <x:c r="A217" s="92" t="str"/>
      <x:c r="B217" s="94" t="str">
        <x:f>IFERROR(INDEX(Employees!$A$2:$A$500,MATCH(A217,Employees!$B$2:$B$500,0)),"")</x:f>
      </x:c>
      <x:c r="C217" s="45"/>
      <x:c r="D217" s="43" t="str">
        <x:f>IFERROR(VLOOKUP(C217,Employees!$A$2:$B$500,2,FALSE),"")</x:f>
      </x:c>
      <x:c r="E217" s="42"/>
      <x:c r="F217" s="105"/>
      <x:c r="G217" s="106"/>
    </x:row>
    <x:row r="218" ht="22" customHeight="1">
      <x:c r="A218" s="92" t="str"/>
      <x:c r="B218" s="94" t="str">
        <x:f>IFERROR(INDEX(Employees!$A$2:$A$500,MATCH(A218,Employees!$B$2:$B$500,0)),"")</x:f>
      </x:c>
      <x:c r="C218" s="45"/>
      <x:c r="D218" s="43" t="str">
        <x:f>IFERROR(VLOOKUP(C218,Employees!$A$2:$B$500,2,FALSE),"")</x:f>
      </x:c>
      <x:c r="E218" s="42"/>
      <x:c r="F218" s="105"/>
      <x:c r="G218" s="106"/>
    </x:row>
    <x:row r="219" ht="22" customHeight="1">
      <x:c r="A219" s="92" t="str"/>
      <x:c r="B219" s="94" t="str">
        <x:f>IFERROR(INDEX(Employees!$A$2:$A$500,MATCH(A219,Employees!$B$2:$B$500,0)),"")</x:f>
      </x:c>
      <x:c r="C219" s="45"/>
      <x:c r="D219" s="43" t="str">
        <x:f>IFERROR(VLOOKUP(C219,Employees!$A$2:$B$500,2,FALSE),"")</x:f>
      </x:c>
      <x:c r="E219" s="42"/>
      <x:c r="F219" s="105"/>
      <x:c r="G219" s="106"/>
    </x:row>
    <x:row r="220" ht="22" customHeight="1">
      <x:c r="A220" s="92" t="str"/>
      <x:c r="B220" s="94" t="str">
        <x:f>IFERROR(INDEX(Employees!$A$2:$A$500,MATCH(A220,Employees!$B$2:$B$500,0)),"")</x:f>
      </x:c>
      <x:c r="C220" s="45"/>
      <x:c r="D220" s="43" t="str">
        <x:f>IFERROR(VLOOKUP(C220,Employees!$A$2:$B$500,2,FALSE),"")</x:f>
      </x:c>
      <x:c r="E220" s="42"/>
      <x:c r="F220" s="105"/>
      <x:c r="G220" s="106"/>
    </x:row>
    <x:row r="221" ht="22" customHeight="1">
      <x:c r="A221" s="92" t="str"/>
      <x:c r="B221" s="94" t="str">
        <x:f>IFERROR(INDEX(Employees!$A$2:$A$500,MATCH(A221,Employees!$B$2:$B$500,0)),"")</x:f>
      </x:c>
      <x:c r="C221" s="45"/>
      <x:c r="D221" s="43" t="str">
        <x:f>IFERROR(VLOOKUP(C221,Employees!$A$2:$B$500,2,FALSE),"")</x:f>
      </x:c>
      <x:c r="E221" s="42"/>
      <x:c r="F221" s="105"/>
      <x:c r="G221" s="106"/>
    </x:row>
    <x:row r="222" ht="22" customHeight="1">
      <x:c r="A222" s="92" t="str"/>
      <x:c r="B222" s="94" t="str">
        <x:f>IFERROR(INDEX(Employees!$A$2:$A$500,MATCH(A222,Employees!$B$2:$B$500,0)),"")</x:f>
      </x:c>
      <x:c r="C222" s="45"/>
      <x:c r="D222" s="43" t="str">
        <x:f>IFERROR(VLOOKUP(C222,Employees!$A$2:$B$500,2,FALSE),"")</x:f>
      </x:c>
      <x:c r="E222" s="42"/>
      <x:c r="F222" s="105"/>
      <x:c r="G222" s="106"/>
    </x:row>
    <x:row r="223" ht="22" customHeight="1">
      <x:c r="A223" s="92" t="str"/>
      <x:c r="B223" s="94" t="str">
        <x:f>IFERROR(INDEX(Employees!$A$2:$A$500,MATCH(A223,Employees!$B$2:$B$500,0)),"")</x:f>
      </x:c>
      <x:c r="C223" s="45"/>
      <x:c r="D223" s="43" t="str">
        <x:f>IFERROR(VLOOKUP(C223,Employees!$A$2:$B$500,2,FALSE),"")</x:f>
      </x:c>
      <x:c r="E223" s="42"/>
      <x:c r="F223" s="105"/>
      <x:c r="G223" s="106"/>
    </x:row>
    <x:row r="224" ht="22" customHeight="1">
      <x:c r="A224" s="92" t="str"/>
      <x:c r="B224" s="94" t="str">
        <x:f>IFERROR(INDEX(Employees!$A$2:$A$500,MATCH(A224,Employees!$B$2:$B$500,0)),"")</x:f>
      </x:c>
      <x:c r="C224" s="45"/>
      <x:c r="D224" s="43" t="str">
        <x:f>IFERROR(VLOOKUP(C224,Employees!$A$2:$B$500,2,FALSE),"")</x:f>
      </x:c>
      <x:c r="E224" s="42"/>
      <x:c r="F224" s="105"/>
      <x:c r="G224" s="106"/>
    </x:row>
    <x:row r="225" ht="22" customHeight="1">
      <x:c r="A225" s="92" t="str"/>
      <x:c r="B225" s="94" t="str">
        <x:f>IFERROR(INDEX(Employees!$A$2:$A$500,MATCH(A225,Employees!$B$2:$B$500,0)),"")</x:f>
      </x:c>
      <x:c r="C225" s="45"/>
      <x:c r="D225" s="43" t="str">
        <x:f>IFERROR(VLOOKUP(C225,Employees!$A$2:$B$500,2,FALSE),"")</x:f>
      </x:c>
      <x:c r="E225" s="42"/>
      <x:c r="F225" s="105"/>
      <x:c r="G225" s="106"/>
    </x:row>
    <x:row r="226" ht="22" customHeight="1">
      <x:c r="A226" s="92" t="str"/>
      <x:c r="B226" s="94" t="str">
        <x:f>IFERROR(INDEX(Employees!$A$2:$A$500,MATCH(A226,Employees!$B$2:$B$500,0)),"")</x:f>
      </x:c>
      <x:c r="C226" s="45"/>
      <x:c r="D226" s="43" t="str">
        <x:f>IFERROR(VLOOKUP(C226,Employees!$A$2:$B$500,2,FALSE),"")</x:f>
      </x:c>
      <x:c r="E226" s="42"/>
      <x:c r="F226" s="105"/>
      <x:c r="G226" s="106"/>
    </x:row>
    <x:row r="227" ht="22" customHeight="1">
      <x:c r="A227" s="92" t="str"/>
      <x:c r="B227" s="94" t="str">
        <x:f>IFERROR(INDEX(Employees!$A$2:$A$500,MATCH(A227,Employees!$B$2:$B$500,0)),"")</x:f>
      </x:c>
      <x:c r="C227" s="45"/>
      <x:c r="D227" s="43" t="str">
        <x:f>IFERROR(VLOOKUP(C227,Employees!$A$2:$B$500,2,FALSE),"")</x:f>
      </x:c>
      <x:c r="E227" s="42"/>
      <x:c r="F227" s="105"/>
      <x:c r="G227" s="106"/>
    </x:row>
    <x:row r="228" ht="22" customHeight="1">
      <x:c r="A228" s="92" t="str"/>
      <x:c r="B228" s="94" t="str">
        <x:f>IFERROR(INDEX(Employees!$A$2:$A$500,MATCH(A228,Employees!$B$2:$B$500,0)),"")</x:f>
      </x:c>
      <x:c r="C228" s="45"/>
      <x:c r="D228" s="43" t="str">
        <x:f>IFERROR(VLOOKUP(C228,Employees!$A$2:$B$500,2,FALSE),"")</x:f>
      </x:c>
      <x:c r="E228" s="42"/>
      <x:c r="F228" s="105"/>
      <x:c r="G228" s="106"/>
    </x:row>
    <x:row r="229" ht="22" customHeight="1">
      <x:c r="A229" s="92" t="str"/>
      <x:c r="B229" s="94" t="str">
        <x:f>IFERROR(INDEX(Employees!$A$2:$A$500,MATCH(A229,Employees!$B$2:$B$500,0)),"")</x:f>
      </x:c>
      <x:c r="C229" s="45"/>
      <x:c r="D229" s="43" t="str">
        <x:f>IFERROR(VLOOKUP(C229,Employees!$A$2:$B$500,2,FALSE),"")</x:f>
      </x:c>
      <x:c r="E229" s="42"/>
      <x:c r="F229" s="105"/>
      <x:c r="G229" s="106"/>
    </x:row>
    <x:row r="230" ht="22" customHeight="1">
      <x:c r="A230" s="92" t="str"/>
      <x:c r="B230" s="94" t="str">
        <x:f>IFERROR(INDEX(Employees!$A$2:$A$500,MATCH(A230,Employees!$B$2:$B$500,0)),"")</x:f>
      </x:c>
      <x:c r="C230" s="45"/>
      <x:c r="D230" s="43" t="str">
        <x:f>IFERROR(VLOOKUP(C230,Employees!$A$2:$B$500,2,FALSE),"")</x:f>
      </x:c>
      <x:c r="E230" s="42"/>
      <x:c r="F230" s="105"/>
      <x:c r="G230" s="106"/>
    </x:row>
    <x:row r="231" ht="22" customHeight="1">
      <x:c r="A231" s="92" t="str"/>
      <x:c r="B231" s="94" t="str">
        <x:f>IFERROR(INDEX(Employees!$A$2:$A$500,MATCH(A231,Employees!$B$2:$B$500,0)),"")</x:f>
      </x:c>
      <x:c r="C231" s="45"/>
      <x:c r="D231" s="43" t="str">
        <x:f>IFERROR(VLOOKUP(C231,Employees!$A$2:$B$500,2,FALSE),"")</x:f>
      </x:c>
      <x:c r="E231" s="42"/>
      <x:c r="F231" s="105"/>
      <x:c r="G231" s="106"/>
    </x:row>
    <x:row r="232" ht="22" customHeight="1">
      <x:c r="A232" s="92" t="str"/>
      <x:c r="B232" s="94" t="str">
        <x:f>IFERROR(INDEX(Employees!$A$2:$A$500,MATCH(A232,Employees!$B$2:$B$500,0)),"")</x:f>
      </x:c>
      <x:c r="C232" s="45"/>
      <x:c r="D232" s="43" t="str">
        <x:f>IFERROR(VLOOKUP(C232,Employees!$A$2:$B$500,2,FALSE),"")</x:f>
      </x:c>
      <x:c r="E232" s="42"/>
      <x:c r="F232" s="105"/>
      <x:c r="G232" s="106"/>
    </x:row>
    <x:row r="233" ht="22" customHeight="1">
      <x:c r="A233" s="92" t="str"/>
      <x:c r="B233" s="94" t="str">
        <x:f>IFERROR(INDEX(Employees!$A$2:$A$500,MATCH(A233,Employees!$B$2:$B$500,0)),"")</x:f>
      </x:c>
      <x:c r="C233" s="45"/>
      <x:c r="D233" s="43" t="str">
        <x:f>IFERROR(VLOOKUP(C233,Employees!$A$2:$B$500,2,FALSE),"")</x:f>
      </x:c>
      <x:c r="E233" s="42"/>
      <x:c r="F233" s="105"/>
      <x:c r="G233" s="106"/>
    </x:row>
    <x:row r="234" ht="22" customHeight="1">
      <x:c r="A234" s="92" t="str"/>
      <x:c r="B234" s="94" t="str">
        <x:f>IFERROR(INDEX(Employees!$A$2:$A$500,MATCH(A234,Employees!$B$2:$B$500,0)),"")</x:f>
      </x:c>
      <x:c r="C234" s="45"/>
      <x:c r="D234" s="43" t="str">
        <x:f>IFERROR(VLOOKUP(C234,Employees!$A$2:$B$500,2,FALSE),"")</x:f>
      </x:c>
      <x:c r="E234" s="42"/>
      <x:c r="F234" s="105"/>
      <x:c r="G234" s="106"/>
    </x:row>
    <x:row r="235" ht="22" customHeight="1">
      <x:c r="A235" s="92" t="str"/>
      <x:c r="B235" s="94" t="str">
        <x:f>IFERROR(INDEX(Employees!$A$2:$A$500,MATCH(A235,Employees!$B$2:$B$500,0)),"")</x:f>
      </x:c>
      <x:c r="C235" s="45"/>
      <x:c r="D235" s="43" t="str">
        <x:f>IFERROR(VLOOKUP(C235,Employees!$A$2:$B$500,2,FALSE),"")</x:f>
      </x:c>
      <x:c r="E235" s="42"/>
      <x:c r="F235" s="105"/>
      <x:c r="G235" s="106"/>
    </x:row>
    <x:row r="236" ht="22" customHeight="1">
      <x:c r="A236" s="92" t="str"/>
      <x:c r="B236" s="94" t="str">
        <x:f>IFERROR(INDEX(Employees!$A$2:$A$500,MATCH(A236,Employees!$B$2:$B$500,0)),"")</x:f>
      </x:c>
      <x:c r="C236" s="45"/>
      <x:c r="D236" s="43" t="str">
        <x:f>IFERROR(VLOOKUP(C236,Employees!$A$2:$B$500,2,FALSE),"")</x:f>
      </x:c>
      <x:c r="E236" s="42"/>
      <x:c r="F236" s="105"/>
      <x:c r="G236" s="106"/>
    </x:row>
    <x:row r="237" ht="22" customHeight="1">
      <x:c r="A237" s="92" t="str"/>
      <x:c r="B237" s="94" t="str">
        <x:f>IFERROR(INDEX(Employees!$A$2:$A$500,MATCH(A237,Employees!$B$2:$B$500,0)),"")</x:f>
      </x:c>
      <x:c r="C237" s="45"/>
      <x:c r="D237" s="43" t="str">
        <x:f>IFERROR(VLOOKUP(C237,Employees!$A$2:$B$500,2,FALSE),"")</x:f>
      </x:c>
      <x:c r="E237" s="42"/>
      <x:c r="F237" s="105"/>
      <x:c r="G237" s="106"/>
    </x:row>
    <x:row r="238" ht="22" customHeight="1">
      <x:c r="A238" s="92" t="str"/>
      <x:c r="B238" s="94" t="str">
        <x:f>IFERROR(INDEX(Employees!$A$2:$A$500,MATCH(A238,Employees!$B$2:$B$500,0)),"")</x:f>
      </x:c>
      <x:c r="C238" s="45"/>
      <x:c r="D238" s="43" t="str">
        <x:f>IFERROR(VLOOKUP(C238,Employees!$A$2:$B$500,2,FALSE),"")</x:f>
      </x:c>
      <x:c r="E238" s="42"/>
      <x:c r="F238" s="105"/>
      <x:c r="G238" s="106"/>
    </x:row>
    <x:row r="239" ht="22" customHeight="1">
      <x:c r="A239" s="92" t="str"/>
      <x:c r="B239" s="94" t="str">
        <x:f>IFERROR(INDEX(Employees!$A$2:$A$500,MATCH(A239,Employees!$B$2:$B$500,0)),"")</x:f>
      </x:c>
      <x:c r="C239" s="45"/>
      <x:c r="D239" s="43" t="str">
        <x:f>IFERROR(VLOOKUP(C239,Employees!$A$2:$B$500,2,FALSE),"")</x:f>
      </x:c>
      <x:c r="E239" s="42"/>
      <x:c r="F239" s="105"/>
      <x:c r="G239" s="106"/>
    </x:row>
    <x:row r="240" ht="22" customHeight="1">
      <x:c r="A240" s="92" t="str"/>
      <x:c r="B240" s="94" t="str">
        <x:f>IFERROR(INDEX(Employees!$A$2:$A$500,MATCH(A240,Employees!$B$2:$B$500,0)),"")</x:f>
      </x:c>
      <x:c r="C240" s="45"/>
      <x:c r="D240" s="43" t="str">
        <x:f>IFERROR(VLOOKUP(C240,Employees!$A$2:$B$500,2,FALSE),"")</x:f>
      </x:c>
      <x:c r="E240" s="42"/>
      <x:c r="F240" s="105"/>
      <x:c r="G240" s="106"/>
    </x:row>
    <x:row r="241" ht="22" customHeight="1">
      <x:c r="A241" s="92" t="str"/>
      <x:c r="B241" s="94" t="str">
        <x:f>IFERROR(INDEX(Employees!$A$2:$A$500,MATCH(A241,Employees!$B$2:$B$500,0)),"")</x:f>
      </x:c>
      <x:c r="C241" s="45"/>
      <x:c r="D241" s="43" t="str">
        <x:f>IFERROR(VLOOKUP(C241,Employees!$A$2:$B$500,2,FALSE),"")</x:f>
      </x:c>
      <x:c r="E241" s="42"/>
      <x:c r="F241" s="105"/>
      <x:c r="G241" s="106"/>
    </x:row>
    <x:row r="242" ht="22" customHeight="1">
      <x:c r="A242" s="92" t="str"/>
      <x:c r="B242" s="94" t="str">
        <x:f>IFERROR(INDEX(Employees!$A$2:$A$500,MATCH(A242,Employees!$B$2:$B$500,0)),"")</x:f>
      </x:c>
      <x:c r="C242" s="45"/>
      <x:c r="D242" s="43" t="str">
        <x:f>IFERROR(VLOOKUP(C242,Employees!$A$2:$B$500,2,FALSE),"")</x:f>
      </x:c>
      <x:c r="E242" s="42"/>
      <x:c r="F242" s="105"/>
      <x:c r="G242" s="106"/>
    </x:row>
    <x:row r="243" ht="22" customHeight="1">
      <x:c r="A243" s="92" t="str"/>
      <x:c r="B243" s="94" t="str">
        <x:f>IFERROR(INDEX(Employees!$A$2:$A$500,MATCH(A243,Employees!$B$2:$B$500,0)),"")</x:f>
      </x:c>
      <x:c r="C243" s="45"/>
      <x:c r="D243" s="43" t="str">
        <x:f>IFERROR(VLOOKUP(C243,Employees!$A$2:$B$500,2,FALSE),"")</x:f>
      </x:c>
      <x:c r="E243" s="42"/>
      <x:c r="F243" s="105"/>
      <x:c r="G243" s="106"/>
    </x:row>
    <x:row r="244" ht="22" customHeight="1">
      <x:c r="A244" s="92" t="str"/>
      <x:c r="B244" s="94" t="str">
        <x:f>IFERROR(INDEX(Employees!$A$2:$A$500,MATCH(A244,Employees!$B$2:$B$500,0)),"")</x:f>
      </x:c>
      <x:c r="C244" s="45"/>
      <x:c r="D244" s="43" t="str">
        <x:f>IFERROR(VLOOKUP(C244,Employees!$A$2:$B$500,2,FALSE),"")</x:f>
      </x:c>
      <x:c r="E244" s="42"/>
      <x:c r="F244" s="105"/>
      <x:c r="G244" s="106"/>
    </x:row>
    <x:row r="245" ht="22" customHeight="1">
      <x:c r="A245" s="92" t="str"/>
      <x:c r="B245" s="94" t="str">
        <x:f>IFERROR(INDEX(Employees!$A$2:$A$500,MATCH(A245,Employees!$B$2:$B$500,0)),"")</x:f>
      </x:c>
      <x:c r="C245" s="45"/>
      <x:c r="D245" s="43" t="str">
        <x:f>IFERROR(VLOOKUP(C245,Employees!$A$2:$B$500,2,FALSE),"")</x:f>
      </x:c>
      <x:c r="E245" s="42"/>
      <x:c r="F245" s="105"/>
      <x:c r="G245" s="106"/>
    </x:row>
    <x:row r="246" ht="22" customHeight="1">
      <x:c r="A246" s="92" t="str"/>
      <x:c r="B246" s="94" t="str">
        <x:f>IFERROR(INDEX(Employees!$A$2:$A$500,MATCH(A246,Employees!$B$2:$B$500,0)),"")</x:f>
      </x:c>
      <x:c r="C246" s="45"/>
      <x:c r="D246" s="43" t="str">
        <x:f>IFERROR(VLOOKUP(C246,Employees!$A$2:$B$500,2,FALSE),"")</x:f>
      </x:c>
      <x:c r="E246" s="42"/>
      <x:c r="F246" s="105"/>
      <x:c r="G246" s="106"/>
    </x:row>
    <x:row r="247" ht="22" customHeight="1">
      <x:c r="A247" s="92" t="str"/>
      <x:c r="B247" s="94" t="str">
        <x:f>IFERROR(INDEX(Employees!$A$2:$A$500,MATCH(A247,Employees!$B$2:$B$500,0)),"")</x:f>
      </x:c>
      <x:c r="C247" s="45"/>
      <x:c r="D247" s="43" t="str">
        <x:f>IFERROR(VLOOKUP(C247,Employees!$A$2:$B$500,2,FALSE),"")</x:f>
      </x:c>
      <x:c r="E247" s="42"/>
      <x:c r="F247" s="105"/>
      <x:c r="G247" s="106"/>
    </x:row>
    <x:row r="248" ht="22" customHeight="1">
      <x:c r="A248" s="92" t="str"/>
      <x:c r="B248" s="94" t="str">
        <x:f>IFERROR(INDEX(Employees!$A$2:$A$500,MATCH(A248,Employees!$B$2:$B$500,0)),"")</x:f>
      </x:c>
      <x:c r="C248" s="45"/>
      <x:c r="D248" s="43" t="str">
        <x:f>IFERROR(VLOOKUP(C248,Employees!$A$2:$B$500,2,FALSE),"")</x:f>
      </x:c>
      <x:c r="E248" s="42"/>
      <x:c r="F248" s="105"/>
      <x:c r="G248" s="106"/>
    </x:row>
    <x:row r="249" ht="22" customHeight="1">
      <x:c r="A249" s="92" t="str"/>
      <x:c r="B249" s="94" t="str">
        <x:f>IFERROR(INDEX(Employees!$A$2:$A$500,MATCH(A249,Employees!$B$2:$B$500,0)),"")</x:f>
      </x:c>
      <x:c r="C249" s="45"/>
      <x:c r="D249" s="43" t="str">
        <x:f>IFERROR(VLOOKUP(C249,Employees!$A$2:$B$500,2,FALSE),"")</x:f>
      </x:c>
      <x:c r="E249" s="42"/>
      <x:c r="F249" s="105"/>
      <x:c r="G249" s="106"/>
    </x:row>
    <x:row r="250" ht="22" customHeight="1">
      <x:c r="A250" s="92" t="str"/>
      <x:c r="B250" s="94" t="str">
        <x:f>IFERROR(INDEX(Employees!$A$2:$A$500,MATCH(A250,Employees!$B$2:$B$500,0)),"")</x:f>
      </x:c>
      <x:c r="C250" s="45"/>
      <x:c r="D250" s="43" t="str">
        <x:f>IFERROR(VLOOKUP(C250,Employees!$A$2:$B$500,2,FALSE),"")</x:f>
      </x:c>
      <x:c r="E250" s="42"/>
      <x:c r="F250" s="105"/>
      <x:c r="G250" s="106"/>
    </x:row>
    <x:row r="251" ht="22" customHeight="1">
      <x:c r="A251" s="92" t="str"/>
      <x:c r="B251" s="94" t="str">
        <x:f>IFERROR(INDEX(Employees!$A$2:$A$500,MATCH(A251,Employees!$B$2:$B$500,0)),"")</x:f>
      </x:c>
      <x:c r="C251" s="45"/>
      <x:c r="D251" s="43" t="str">
        <x:f>IFERROR(VLOOKUP(C251,Employees!$A$2:$B$500,2,FALSE),"")</x:f>
      </x:c>
      <x:c r="E251" s="42"/>
      <x:c r="F251" s="105"/>
      <x:c r="G251" s="106"/>
    </x:row>
    <x:row r="252" ht="22" customHeight="1">
      <x:c r="A252" s="92" t="str"/>
      <x:c r="B252" s="94" t="str">
        <x:f>IFERROR(INDEX(Employees!$A$2:$A$500,MATCH(A252,Employees!$B$2:$B$500,0)),"")</x:f>
      </x:c>
      <x:c r="C252" s="45"/>
      <x:c r="D252" s="43" t="str">
        <x:f>IFERROR(VLOOKUP(C252,Employees!$A$2:$B$500,2,FALSE),"")</x:f>
      </x:c>
      <x:c r="E252" s="42"/>
      <x:c r="F252" s="105"/>
      <x:c r="G252" s="106"/>
    </x:row>
    <x:row r="253" ht="22" customHeight="1">
      <x:c r="A253" s="92" t="str"/>
      <x:c r="B253" s="94" t="str">
        <x:f>IFERROR(INDEX(Employees!$A$2:$A$500,MATCH(A253,Employees!$B$2:$B$500,0)),"")</x:f>
      </x:c>
      <x:c r="C253" s="45"/>
      <x:c r="D253" s="43" t="str">
        <x:f>IFERROR(VLOOKUP(C253,Employees!$A$2:$B$500,2,FALSE),"")</x:f>
      </x:c>
      <x:c r="E253" s="42"/>
      <x:c r="F253" s="105"/>
      <x:c r="G253" s="106"/>
    </x:row>
    <x:row r="254" ht="22" customHeight="1">
      <x:c r="A254" s="92" t="str"/>
      <x:c r="B254" s="94" t="str">
        <x:f>IFERROR(INDEX(Employees!$A$2:$A$500,MATCH(A254,Employees!$B$2:$B$500,0)),"")</x:f>
      </x:c>
      <x:c r="C254" s="45"/>
      <x:c r="D254" s="43" t="str">
        <x:f>IFERROR(VLOOKUP(C254,Employees!$A$2:$B$500,2,FALSE),"")</x:f>
      </x:c>
      <x:c r="E254" s="42"/>
      <x:c r="F254" s="105"/>
      <x:c r="G254" s="106"/>
    </x:row>
    <x:row r="255" ht="22" customHeight="1">
      <x:c r="A255" s="92" t="str"/>
      <x:c r="B255" s="94" t="str">
        <x:f>IFERROR(INDEX(Employees!$A$2:$A$500,MATCH(A255,Employees!$B$2:$B$500,0)),"")</x:f>
      </x:c>
      <x:c r="C255" s="45"/>
      <x:c r="D255" s="43" t="str">
        <x:f>IFERROR(VLOOKUP(C255,Employees!$A$2:$B$500,2,FALSE),"")</x:f>
      </x:c>
      <x:c r="E255" s="42"/>
      <x:c r="F255" s="105"/>
      <x:c r="G255" s="106"/>
    </x:row>
    <x:row r="256" ht="22" customHeight="1">
      <x:c r="A256" s="92" t="str"/>
      <x:c r="B256" s="94" t="str">
        <x:f>IFERROR(INDEX(Employees!$A$2:$A$500,MATCH(A256,Employees!$B$2:$B$500,0)),"")</x:f>
      </x:c>
      <x:c r="C256" s="45"/>
      <x:c r="D256" s="43" t="str">
        <x:f>IFERROR(VLOOKUP(C256,Employees!$A$2:$B$500,2,FALSE),"")</x:f>
      </x:c>
      <x:c r="E256" s="42"/>
      <x:c r="F256" s="105"/>
      <x:c r="G256" s="106"/>
    </x:row>
    <x:row r="257" ht="22" customHeight="1">
      <x:c r="A257" s="92" t="str"/>
      <x:c r="B257" s="94" t="str">
        <x:f>IFERROR(INDEX(Employees!$A$2:$A$500,MATCH(A257,Employees!$B$2:$B$500,0)),"")</x:f>
      </x:c>
      <x:c r="C257" s="45"/>
      <x:c r="D257" s="43" t="str">
        <x:f>IFERROR(VLOOKUP(C257,Employees!$A$2:$B$500,2,FALSE),"")</x:f>
      </x:c>
      <x:c r="E257" s="42"/>
      <x:c r="F257" s="105"/>
      <x:c r="G257" s="106"/>
    </x:row>
    <x:row r="258" ht="22" customHeight="1">
      <x:c r="A258" s="92" t="str"/>
      <x:c r="B258" s="94" t="str">
        <x:f>IFERROR(INDEX(Employees!$A$2:$A$500,MATCH(A258,Employees!$B$2:$B$500,0)),"")</x:f>
      </x:c>
      <x:c r="C258" s="45"/>
      <x:c r="D258" s="43" t="str">
        <x:f>IFERROR(VLOOKUP(C258,Employees!$A$2:$B$500,2,FALSE),"")</x:f>
      </x:c>
      <x:c r="E258" s="42"/>
      <x:c r="F258" s="105"/>
      <x:c r="G258" s="106"/>
    </x:row>
    <x:row r="259" ht="22" customHeight="1">
      <x:c r="A259" s="92" t="str"/>
      <x:c r="B259" s="94" t="str">
        <x:f>IFERROR(INDEX(Employees!$A$2:$A$500,MATCH(A259,Employees!$B$2:$B$500,0)),"")</x:f>
      </x:c>
      <x:c r="C259" s="45"/>
      <x:c r="D259" s="43" t="str">
        <x:f>IFERROR(VLOOKUP(C259,Employees!$A$2:$B$500,2,FALSE),"")</x:f>
      </x:c>
      <x:c r="E259" s="42"/>
      <x:c r="F259" s="105"/>
      <x:c r="G259" s="106"/>
    </x:row>
    <x:row r="260" ht="22" customHeight="1">
      <x:c r="A260" s="92" t="str"/>
      <x:c r="B260" s="94" t="str">
        <x:f>IFERROR(INDEX(Employees!$A$2:$A$500,MATCH(A260,Employees!$B$2:$B$500,0)),"")</x:f>
      </x:c>
      <x:c r="C260" s="45"/>
      <x:c r="D260" s="43" t="str">
        <x:f>IFERROR(VLOOKUP(C260,Employees!$A$2:$B$500,2,FALSE),"")</x:f>
      </x:c>
      <x:c r="E260" s="42"/>
      <x:c r="F260" s="105"/>
      <x:c r="G260" s="106"/>
    </x:row>
    <x:row r="261" ht="22" customHeight="1">
      <x:c r="A261" s="92" t="str"/>
      <x:c r="B261" s="94" t="str">
        <x:f>IFERROR(INDEX(Employees!$A$2:$A$500,MATCH(A261,Employees!$B$2:$B$500,0)),"")</x:f>
      </x:c>
      <x:c r="C261" s="45"/>
      <x:c r="D261" s="43" t="str">
        <x:f>IFERROR(VLOOKUP(C261,Employees!$A$2:$B$500,2,FALSE),"")</x:f>
      </x:c>
      <x:c r="E261" s="42"/>
      <x:c r="F261" s="105"/>
      <x:c r="G261" s="106"/>
    </x:row>
    <x:row r="262" ht="22" customHeight="1">
      <x:c r="A262" s="92" t="str"/>
      <x:c r="B262" s="94" t="str">
        <x:f>IFERROR(INDEX(Employees!$A$2:$A$500,MATCH(A262,Employees!$B$2:$B$500,0)),"")</x:f>
      </x:c>
      <x:c r="C262" s="45"/>
      <x:c r="D262" s="43" t="str">
        <x:f>IFERROR(VLOOKUP(C262,Employees!$A$2:$B$500,2,FALSE),"")</x:f>
      </x:c>
      <x:c r="E262" s="42"/>
      <x:c r="F262" s="105"/>
      <x:c r="G262" s="106"/>
    </x:row>
    <x:row r="263" ht="22" customHeight="1">
      <x:c r="A263" s="92" t="str"/>
      <x:c r="B263" s="94" t="str">
        <x:f>IFERROR(INDEX(Employees!$A$2:$A$500,MATCH(A263,Employees!$B$2:$B$500,0)),"")</x:f>
      </x:c>
      <x:c r="C263" s="45"/>
      <x:c r="D263" s="43" t="str">
        <x:f>IFERROR(VLOOKUP(C263,Employees!$A$2:$B$500,2,FALSE),"")</x:f>
      </x:c>
      <x:c r="E263" s="42"/>
      <x:c r="F263" s="105"/>
      <x:c r="G263" s="106"/>
    </x:row>
    <x:row r="264" ht="22" customHeight="1">
      <x:c r="A264" s="92" t="str"/>
      <x:c r="B264" s="94" t="str">
        <x:f>IFERROR(INDEX(Employees!$A$2:$A$500,MATCH(A264,Employees!$B$2:$B$500,0)),"")</x:f>
      </x:c>
      <x:c r="C264" s="45"/>
      <x:c r="D264" s="43" t="str">
        <x:f>IFERROR(VLOOKUP(C264,Employees!$A$2:$B$500,2,FALSE),"")</x:f>
      </x:c>
      <x:c r="E264" s="42"/>
      <x:c r="F264" s="105"/>
      <x:c r="G264" s="106"/>
    </x:row>
    <x:row r="265" ht="22" customHeight="1">
      <x:c r="A265" s="92" t="str"/>
      <x:c r="B265" s="94" t="str">
        <x:f>IFERROR(INDEX(Employees!$A$2:$A$500,MATCH(A265,Employees!$B$2:$B$500,0)),"")</x:f>
      </x:c>
      <x:c r="C265" s="45"/>
      <x:c r="D265" s="43" t="str">
        <x:f>IFERROR(VLOOKUP(C265,Employees!$A$2:$B$500,2,FALSE),"")</x:f>
      </x:c>
      <x:c r="E265" s="42"/>
      <x:c r="F265" s="105"/>
      <x:c r="G265" s="106"/>
    </x:row>
    <x:row r="266" ht="22" customHeight="1">
      <x:c r="A266" s="92" t="str"/>
      <x:c r="B266" s="94" t="str">
        <x:f>IFERROR(INDEX(Employees!$A$2:$A$500,MATCH(A266,Employees!$B$2:$B$500,0)),"")</x:f>
      </x:c>
      <x:c r="C266" s="45"/>
      <x:c r="D266" s="43" t="str">
        <x:f>IFERROR(VLOOKUP(C266,Employees!$A$2:$B$500,2,FALSE),"")</x:f>
      </x:c>
      <x:c r="E266" s="42"/>
      <x:c r="F266" s="105"/>
      <x:c r="G266" s="106"/>
    </x:row>
    <x:row r="267" ht="22" customHeight="1">
      <x:c r="A267" s="92" t="str"/>
      <x:c r="B267" s="94" t="str">
        <x:f>IFERROR(INDEX(Employees!$A$2:$A$500,MATCH(A267,Employees!$B$2:$B$500,0)),"")</x:f>
      </x:c>
      <x:c r="C267" s="45"/>
      <x:c r="D267" s="43" t="str">
        <x:f>IFERROR(VLOOKUP(C267,Employees!$A$2:$B$500,2,FALSE),"")</x:f>
      </x:c>
      <x:c r="E267" s="42"/>
      <x:c r="F267" s="105"/>
      <x:c r="G267" s="106"/>
    </x:row>
    <x:row r="268" ht="22" customHeight="1">
      <x:c r="A268" s="92" t="str"/>
      <x:c r="B268" s="94" t="str">
        <x:f>IFERROR(INDEX(Employees!$A$2:$A$500,MATCH(A268,Employees!$B$2:$B$500,0)),"")</x:f>
      </x:c>
      <x:c r="C268" s="45"/>
      <x:c r="D268" s="43" t="str">
        <x:f>IFERROR(VLOOKUP(C268,Employees!$A$2:$B$500,2,FALSE),"")</x:f>
      </x:c>
      <x:c r="E268" s="42"/>
      <x:c r="F268" s="105"/>
      <x:c r="G268" s="106"/>
    </x:row>
    <x:row r="269" ht="22" customHeight="1">
      <x:c r="A269" s="92" t="str"/>
      <x:c r="B269" s="94" t="str">
        <x:f>IFERROR(INDEX(Employees!$A$2:$A$500,MATCH(A269,Employees!$B$2:$B$500,0)),"")</x:f>
      </x:c>
      <x:c r="C269" s="45"/>
      <x:c r="D269" s="43" t="str">
        <x:f>IFERROR(VLOOKUP(C269,Employees!$A$2:$B$500,2,FALSE),"")</x:f>
      </x:c>
      <x:c r="E269" s="42"/>
      <x:c r="F269" s="105"/>
      <x:c r="G269" s="106"/>
    </x:row>
    <x:row r="270" ht="22" customHeight="1">
      <x:c r="A270" s="92" t="str"/>
      <x:c r="B270" s="94" t="str">
        <x:f>IFERROR(INDEX(Employees!$A$2:$A$500,MATCH(A270,Employees!$B$2:$B$500,0)),"")</x:f>
      </x:c>
      <x:c r="C270" s="45"/>
      <x:c r="D270" s="43" t="str">
        <x:f>IFERROR(VLOOKUP(C270,Employees!$A$2:$B$500,2,FALSE),"")</x:f>
      </x:c>
      <x:c r="E270" s="42"/>
      <x:c r="F270" s="105"/>
      <x:c r="G270" s="106"/>
    </x:row>
    <x:row r="271" ht="22" customHeight="1">
      <x:c r="A271" s="92" t="str"/>
      <x:c r="B271" s="94" t="str">
        <x:f>IFERROR(INDEX(Employees!$A$2:$A$500,MATCH(A271,Employees!$B$2:$B$500,0)),"")</x:f>
      </x:c>
      <x:c r="C271" s="45"/>
      <x:c r="D271" s="43" t="str">
        <x:f>IFERROR(VLOOKUP(C271,Employees!$A$2:$B$500,2,FALSE),"")</x:f>
      </x:c>
      <x:c r="E271" s="42"/>
      <x:c r="F271" s="105"/>
      <x:c r="G271" s="106"/>
    </x:row>
    <x:row r="272" ht="22" customHeight="1">
      <x:c r="A272" s="92" t="str"/>
      <x:c r="B272" s="94" t="str">
        <x:f>IFERROR(INDEX(Employees!$A$2:$A$500,MATCH(A272,Employees!$B$2:$B$500,0)),"")</x:f>
      </x:c>
      <x:c r="C272" s="45"/>
      <x:c r="D272" s="43" t="str">
        <x:f>IFERROR(VLOOKUP(C272,Employees!$A$2:$B$500,2,FALSE),"")</x:f>
      </x:c>
      <x:c r="E272" s="42"/>
      <x:c r="F272" s="105"/>
      <x:c r="G272" s="106"/>
    </x:row>
    <x:row r="273" ht="22" customHeight="1">
      <x:c r="A273" s="92" t="str"/>
      <x:c r="B273" s="94" t="str">
        <x:f>IFERROR(INDEX(Employees!$A$2:$A$500,MATCH(A273,Employees!$B$2:$B$500,0)),"")</x:f>
      </x:c>
      <x:c r="C273" s="45"/>
      <x:c r="D273" s="43" t="str">
        <x:f>IFERROR(VLOOKUP(C273,Employees!$A$2:$B$500,2,FALSE),"")</x:f>
      </x:c>
      <x:c r="E273" s="42"/>
      <x:c r="F273" s="105"/>
      <x:c r="G273" s="106"/>
    </x:row>
    <x:row r="274" ht="22" customHeight="1">
      <x:c r="A274" s="92" t="str"/>
      <x:c r="B274" s="94" t="str">
        <x:f>IFERROR(INDEX(Employees!$A$2:$A$500,MATCH(A274,Employees!$B$2:$B$500,0)),"")</x:f>
      </x:c>
      <x:c r="C274" s="45"/>
      <x:c r="D274" s="43" t="str">
        <x:f>IFERROR(VLOOKUP(C274,Employees!$A$2:$B$500,2,FALSE),"")</x:f>
      </x:c>
      <x:c r="E274" s="42"/>
      <x:c r="F274" s="105"/>
      <x:c r="G274" s="106"/>
    </x:row>
    <x:row r="275" ht="22" customHeight="1">
      <x:c r="A275" s="92" t="str"/>
      <x:c r="B275" s="94" t="str">
        <x:f>IFERROR(INDEX(Employees!$A$2:$A$500,MATCH(A275,Employees!$B$2:$B$500,0)),"")</x:f>
      </x:c>
      <x:c r="C275" s="45"/>
      <x:c r="D275" s="43" t="str">
        <x:f>IFERROR(VLOOKUP(C275,Employees!$A$2:$B$500,2,FALSE),"")</x:f>
      </x:c>
      <x:c r="E275" s="42"/>
      <x:c r="F275" s="105"/>
      <x:c r="G275" s="106"/>
    </x:row>
    <x:row r="276" ht="22" customHeight="1">
      <x:c r="A276" s="92" t="str"/>
      <x:c r="B276" s="94" t="str">
        <x:f>IFERROR(INDEX(Employees!$A$2:$A$500,MATCH(A276,Employees!$B$2:$B$500,0)),"")</x:f>
      </x:c>
      <x:c r="C276" s="45"/>
      <x:c r="D276" s="43" t="str">
        <x:f>IFERROR(VLOOKUP(C276,Employees!$A$2:$B$500,2,FALSE),"")</x:f>
      </x:c>
      <x:c r="E276" s="42"/>
      <x:c r="F276" s="105"/>
      <x:c r="G276" s="106"/>
    </x:row>
    <x:row r="277" ht="22" customHeight="1">
      <x:c r="A277" s="92" t="str"/>
      <x:c r="B277" s="94" t="str">
        <x:f>IFERROR(INDEX(Employees!$A$2:$A$500,MATCH(A277,Employees!$B$2:$B$500,0)),"")</x:f>
      </x:c>
      <x:c r="C277" s="45"/>
      <x:c r="D277" s="43" t="str">
        <x:f>IFERROR(VLOOKUP(C277,Employees!$A$2:$B$500,2,FALSE),"")</x:f>
      </x:c>
      <x:c r="E277" s="42"/>
      <x:c r="F277" s="105"/>
      <x:c r="G277" s="106"/>
    </x:row>
    <x:row r="278" ht="22" customHeight="1">
      <x:c r="A278" s="92" t="str"/>
      <x:c r="B278" s="94" t="str">
        <x:f>IFERROR(INDEX(Employees!$A$2:$A$500,MATCH(A278,Employees!$B$2:$B$500,0)),"")</x:f>
      </x:c>
      <x:c r="C278" s="45"/>
      <x:c r="D278" s="43" t="str">
        <x:f>IFERROR(VLOOKUP(C278,Employees!$A$2:$B$500,2,FALSE),"")</x:f>
      </x:c>
      <x:c r="E278" s="42"/>
      <x:c r="F278" s="105"/>
      <x:c r="G278" s="106"/>
    </x:row>
    <x:row r="279" ht="22" customHeight="1">
      <x:c r="A279" s="92" t="str"/>
      <x:c r="B279" s="94" t="str">
        <x:f>IFERROR(INDEX(Employees!$A$2:$A$500,MATCH(A279,Employees!$B$2:$B$500,0)),"")</x:f>
      </x:c>
      <x:c r="C279" s="45"/>
      <x:c r="D279" s="43" t="str">
        <x:f>IFERROR(VLOOKUP(C279,Employees!$A$2:$B$500,2,FALSE),"")</x:f>
      </x:c>
      <x:c r="E279" s="42"/>
      <x:c r="F279" s="105"/>
      <x:c r="G279" s="106"/>
    </x:row>
    <x:row r="280" ht="22" customHeight="1">
      <x:c r="A280" s="92" t="str"/>
      <x:c r="B280" s="94" t="str">
        <x:f>IFERROR(INDEX(Employees!$A$2:$A$500,MATCH(A280,Employees!$B$2:$B$500,0)),"")</x:f>
      </x:c>
      <x:c r="C280" s="45"/>
      <x:c r="D280" s="43" t="str">
        <x:f>IFERROR(VLOOKUP(C280,Employees!$A$2:$B$500,2,FALSE),"")</x:f>
      </x:c>
      <x:c r="E280" s="42"/>
      <x:c r="F280" s="105"/>
      <x:c r="G280" s="106"/>
    </x:row>
    <x:row r="281" ht="22" customHeight="1">
      <x:c r="A281" s="92" t="str"/>
      <x:c r="B281" s="94" t="str">
        <x:f>IFERROR(INDEX(Employees!$A$2:$A$500,MATCH(A281,Employees!$B$2:$B$500,0)),"")</x:f>
      </x:c>
      <x:c r="C281" s="45"/>
      <x:c r="D281" s="43" t="str">
        <x:f>IFERROR(VLOOKUP(C281,Employees!$A$2:$B$500,2,FALSE),"")</x:f>
      </x:c>
      <x:c r="E281" s="42"/>
      <x:c r="F281" s="105"/>
      <x:c r="G281" s="106"/>
    </x:row>
    <x:row r="282" ht="22" customHeight="1">
      <x:c r="A282" s="92" t="str"/>
      <x:c r="B282" s="94" t="str">
        <x:f>IFERROR(INDEX(Employees!$A$2:$A$500,MATCH(A282,Employees!$B$2:$B$500,0)),"")</x:f>
      </x:c>
      <x:c r="C282" s="45"/>
      <x:c r="D282" s="43" t="str">
        <x:f>IFERROR(VLOOKUP(C282,Employees!$A$2:$B$500,2,FALSE),"")</x:f>
      </x:c>
      <x:c r="E282" s="42"/>
      <x:c r="F282" s="105"/>
      <x:c r="G282" s="106"/>
    </x:row>
    <x:row r="283" ht="22" customHeight="1">
      <x:c r="A283" s="92" t="str"/>
      <x:c r="B283" s="94" t="str">
        <x:f>IFERROR(INDEX(Employees!$A$2:$A$500,MATCH(A283,Employees!$B$2:$B$500,0)),"")</x:f>
      </x:c>
      <x:c r="C283" s="45"/>
      <x:c r="D283" s="43" t="str">
        <x:f>IFERROR(VLOOKUP(C283,Employees!$A$2:$B$500,2,FALSE),"")</x:f>
      </x:c>
      <x:c r="E283" s="42"/>
      <x:c r="F283" s="105"/>
      <x:c r="G283" s="106"/>
    </x:row>
    <x:row r="284" ht="22" customHeight="1">
      <x:c r="A284" s="92" t="str"/>
      <x:c r="B284" s="94" t="str">
        <x:f>IFERROR(INDEX(Employees!$A$2:$A$500,MATCH(A284,Employees!$B$2:$B$500,0)),"")</x:f>
      </x:c>
      <x:c r="C284" s="45"/>
      <x:c r="D284" s="43" t="str">
        <x:f>IFERROR(VLOOKUP(C284,Employees!$A$2:$B$500,2,FALSE),"")</x:f>
      </x:c>
      <x:c r="E284" s="42"/>
      <x:c r="F284" s="105"/>
      <x:c r="G284" s="106"/>
    </x:row>
    <x:row r="285" ht="22" customHeight="1">
      <x:c r="A285" s="92" t="str"/>
      <x:c r="B285" s="94" t="str">
        <x:f>IFERROR(INDEX(Employees!$A$2:$A$500,MATCH(A285,Employees!$B$2:$B$500,0)),"")</x:f>
      </x:c>
      <x:c r="C285" s="45"/>
      <x:c r="D285" s="43" t="str">
        <x:f>IFERROR(VLOOKUP(C285,Employees!$A$2:$B$500,2,FALSE),"")</x:f>
      </x:c>
      <x:c r="E285" s="42"/>
      <x:c r="F285" s="105"/>
      <x:c r="G285" s="106"/>
    </x:row>
    <x:row r="286" ht="22" customHeight="1">
      <x:c r="A286" s="92" t="str"/>
      <x:c r="B286" s="94" t="str">
        <x:f>IFERROR(INDEX(Employees!$A$2:$A$500,MATCH(A286,Employees!$B$2:$B$500,0)),"")</x:f>
      </x:c>
      <x:c r="C286" s="45"/>
      <x:c r="D286" s="43" t="str">
        <x:f>IFERROR(VLOOKUP(C286,Employees!$A$2:$B$500,2,FALSE),"")</x:f>
      </x:c>
      <x:c r="E286" s="42"/>
      <x:c r="F286" s="105"/>
      <x:c r="G286" s="106"/>
    </x:row>
    <x:row r="287" ht="22" customHeight="1">
      <x:c r="A287" s="92" t="str"/>
      <x:c r="B287" s="94" t="str">
        <x:f>IFERROR(INDEX(Employees!$A$2:$A$500,MATCH(A287,Employees!$B$2:$B$500,0)),"")</x:f>
      </x:c>
      <x:c r="C287" s="45"/>
      <x:c r="D287" s="43" t="str">
        <x:f>IFERROR(VLOOKUP(C287,Employees!$A$2:$B$500,2,FALSE),"")</x:f>
      </x:c>
      <x:c r="E287" s="42"/>
      <x:c r="F287" s="105"/>
      <x:c r="G287" s="106"/>
    </x:row>
    <x:row r="288" ht="22" customHeight="1">
      <x:c r="A288" s="92" t="str"/>
      <x:c r="B288" s="94" t="str">
        <x:f>IFERROR(INDEX(Employees!$A$2:$A$500,MATCH(A288,Employees!$B$2:$B$500,0)),"")</x:f>
      </x:c>
      <x:c r="C288" s="45"/>
      <x:c r="D288" s="43" t="str">
        <x:f>IFERROR(VLOOKUP(C288,Employees!$A$2:$B$500,2,FALSE),"")</x:f>
      </x:c>
      <x:c r="E288" s="42"/>
      <x:c r="F288" s="105"/>
      <x:c r="G288" s="106"/>
    </x:row>
    <x:row r="289" ht="22" customHeight="1">
      <x:c r="A289" s="92" t="str"/>
      <x:c r="B289" s="94" t="str">
        <x:f>IFERROR(INDEX(Employees!$A$2:$A$500,MATCH(A289,Employees!$B$2:$B$500,0)),"")</x:f>
      </x:c>
      <x:c r="C289" s="45"/>
      <x:c r="D289" s="43" t="str">
        <x:f>IFERROR(VLOOKUP(C289,Employees!$A$2:$B$500,2,FALSE),"")</x:f>
      </x:c>
      <x:c r="E289" s="42"/>
      <x:c r="F289" s="105"/>
      <x:c r="G289" s="106"/>
    </x:row>
    <x:row r="290" ht="22" customHeight="1">
      <x:c r="A290" s="92" t="str"/>
      <x:c r="B290" s="94" t="str">
        <x:f>IFERROR(INDEX(Employees!$A$2:$A$500,MATCH(A290,Employees!$B$2:$B$500,0)),"")</x:f>
      </x:c>
      <x:c r="C290" s="45"/>
      <x:c r="D290" s="43" t="str">
        <x:f>IFERROR(VLOOKUP(C290,Employees!$A$2:$B$500,2,FALSE),"")</x:f>
      </x:c>
      <x:c r="E290" s="42"/>
      <x:c r="F290" s="105"/>
      <x:c r="G290" s="106"/>
    </x:row>
    <x:row r="291" ht="22" customHeight="1">
      <x:c r="A291" s="92" t="str"/>
      <x:c r="B291" s="94" t="str">
        <x:f>IFERROR(INDEX(Employees!$A$2:$A$500,MATCH(A291,Employees!$B$2:$B$500,0)),"")</x:f>
      </x:c>
      <x:c r="C291" s="45"/>
      <x:c r="D291" s="43" t="str">
        <x:f>IFERROR(VLOOKUP(C291,Employees!$A$2:$B$500,2,FALSE),"")</x:f>
      </x:c>
      <x:c r="E291" s="42"/>
      <x:c r="F291" s="105"/>
      <x:c r="G291" s="106"/>
    </x:row>
    <x:row r="292" ht="22" customHeight="1">
      <x:c r="A292" s="92" t="str"/>
      <x:c r="B292" s="94" t="str">
        <x:f>IFERROR(INDEX(Employees!$A$2:$A$500,MATCH(A292,Employees!$B$2:$B$500,0)),"")</x:f>
      </x:c>
      <x:c r="C292" s="45"/>
      <x:c r="D292" s="43" t="str">
        <x:f>IFERROR(VLOOKUP(C292,Employees!$A$2:$B$500,2,FALSE),"")</x:f>
      </x:c>
      <x:c r="E292" s="42"/>
      <x:c r="F292" s="105"/>
      <x:c r="G292" s="106"/>
    </x:row>
    <x:row r="293" ht="22" customHeight="1">
      <x:c r="A293" s="92" t="str"/>
      <x:c r="B293" s="94" t="str">
        <x:f>IFERROR(INDEX(Employees!$A$2:$A$500,MATCH(A293,Employees!$B$2:$B$500,0)),"")</x:f>
      </x:c>
      <x:c r="C293" s="45"/>
      <x:c r="D293" s="43" t="str">
        <x:f>IFERROR(VLOOKUP(C293,Employees!$A$2:$B$500,2,FALSE),"")</x:f>
      </x:c>
      <x:c r="E293" s="42"/>
      <x:c r="F293" s="105"/>
      <x:c r="G293" s="106"/>
    </x:row>
    <x:row r="294" ht="22" customHeight="1">
      <x:c r="A294" s="92" t="str"/>
      <x:c r="B294" s="94" t="str">
        <x:f>IFERROR(INDEX(Employees!$A$2:$A$500,MATCH(A294,Employees!$B$2:$B$500,0)),"")</x:f>
      </x:c>
      <x:c r="C294" s="45"/>
      <x:c r="D294" s="43" t="str">
        <x:f>IFERROR(VLOOKUP(C294,Employees!$A$2:$B$500,2,FALSE),"")</x:f>
      </x:c>
      <x:c r="E294" s="42"/>
      <x:c r="F294" s="105"/>
      <x:c r="G294" s="106"/>
    </x:row>
    <x:row r="295" ht="22" customHeight="1">
      <x:c r="A295" s="92" t="str"/>
      <x:c r="B295" s="94" t="str">
        <x:f>IFERROR(INDEX(Employees!$A$2:$A$500,MATCH(A295,Employees!$B$2:$B$500,0)),"")</x:f>
      </x:c>
      <x:c r="C295" s="45"/>
      <x:c r="D295" s="43" t="str">
        <x:f>IFERROR(VLOOKUP(C295,Employees!$A$2:$B$500,2,FALSE),"")</x:f>
      </x:c>
      <x:c r="E295" s="42"/>
      <x:c r="F295" s="105"/>
      <x:c r="G295" s="106"/>
    </x:row>
    <x:row r="296" ht="22" customHeight="1">
      <x:c r="A296" s="92" t="str"/>
      <x:c r="B296" s="94" t="str">
        <x:f>IFERROR(INDEX(Employees!$A$2:$A$500,MATCH(A296,Employees!$B$2:$B$500,0)),"")</x:f>
      </x:c>
      <x:c r="C296" s="45"/>
      <x:c r="D296" s="43" t="str">
        <x:f>IFERROR(VLOOKUP(C296,Employees!$A$2:$B$500,2,FALSE),"")</x:f>
      </x:c>
      <x:c r="E296" s="42"/>
      <x:c r="F296" s="105"/>
      <x:c r="G296" s="106"/>
    </x:row>
    <x:row r="297" ht="22" customHeight="1">
      <x:c r="A297" s="92" t="str"/>
      <x:c r="B297" s="94" t="str">
        <x:f>IFERROR(INDEX(Employees!$A$2:$A$500,MATCH(A297,Employees!$B$2:$B$500,0)),"")</x:f>
      </x:c>
      <x:c r="C297" s="45"/>
      <x:c r="D297" s="43" t="str">
        <x:f>IFERROR(VLOOKUP(C297,Employees!$A$2:$B$500,2,FALSE),"")</x:f>
      </x:c>
      <x:c r="E297" s="42"/>
      <x:c r="F297" s="105"/>
      <x:c r="G297" s="106"/>
    </x:row>
    <x:row r="298" ht="22" customHeight="1">
      <x:c r="A298" s="92" t="str"/>
      <x:c r="B298" s="94" t="str">
        <x:f>IFERROR(INDEX(Employees!$A$2:$A$500,MATCH(A298,Employees!$B$2:$B$500,0)),"")</x:f>
      </x:c>
      <x:c r="C298" s="45"/>
      <x:c r="D298" s="43" t="str">
        <x:f>IFERROR(VLOOKUP(C298,Employees!$A$2:$B$500,2,FALSE),"")</x:f>
      </x:c>
      <x:c r="E298" s="42"/>
      <x:c r="F298" s="105"/>
      <x:c r="G298" s="106"/>
    </x:row>
    <x:row r="299" ht="22" customHeight="1">
      <x:c r="A299" s="92" t="str"/>
      <x:c r="B299" s="94" t="str">
        <x:f>IFERROR(INDEX(Employees!$A$2:$A$500,MATCH(A299,Employees!$B$2:$B$500,0)),"")</x:f>
      </x:c>
      <x:c r="C299" s="45"/>
      <x:c r="D299" s="43" t="str">
        <x:f>IFERROR(VLOOKUP(C299,Employees!$A$2:$B$500,2,FALSE),"")</x:f>
      </x:c>
      <x:c r="E299" s="42"/>
      <x:c r="F299" s="105"/>
      <x:c r="G299" s="106"/>
    </x:row>
    <x:row r="300" ht="22" customHeight="1">
      <x:c r="A300" s="92" t="str"/>
      <x:c r="B300" s="94" t="str">
        <x:f>IFERROR(INDEX(Employees!$A$2:$A$500,MATCH(A300,Employees!$B$2:$B$500,0)),"")</x:f>
      </x:c>
      <x:c r="C300" s="45"/>
      <x:c r="D300" s="43" t="str">
        <x:f>IFERROR(VLOOKUP(C300,Employees!$A$2:$B$500,2,FALSE),"")</x:f>
      </x:c>
      <x:c r="E300" s="42"/>
      <x:c r="F300" s="105"/>
      <x:c r="G300" s="106"/>
    </x:row>
    <x:row r="301" ht="22" customHeight="1">
      <x:c r="A301" s="92" t="str"/>
      <x:c r="B301" s="94" t="str">
        <x:f>IFERROR(INDEX(Employees!$A$2:$A$500,MATCH(A301,Employees!$B$2:$B$500,0)),"")</x:f>
      </x:c>
      <x:c r="C301" s="45"/>
      <x:c r="D301" s="43" t="str">
        <x:f>IFERROR(VLOOKUP(C301,Employees!$A$2:$B$500,2,FALSE),"")</x:f>
      </x:c>
      <x:c r="E301" s="42"/>
      <x:c r="F301" s="105"/>
      <x:c r="G301" s="106"/>
    </x:row>
    <x:row r="302" ht="22" customHeight="1">
      <x:c r="A302" s="92" t="str"/>
      <x:c r="B302" s="94" t="str">
        <x:f>IFERROR(INDEX(Employees!$A$2:$A$500,MATCH(A302,Employees!$B$2:$B$500,0)),"")</x:f>
      </x:c>
      <x:c r="C302" s="45"/>
      <x:c r="D302" s="43" t="str">
        <x:f>IFERROR(VLOOKUP(C302,Employees!$A$2:$B$500,2,FALSE),"")</x:f>
      </x:c>
      <x:c r="E302" s="42"/>
      <x:c r="F302" s="105"/>
      <x:c r="G302" s="106"/>
    </x:row>
    <x:row r="303" ht="22" customHeight="1">
      <x:c r="A303" s="92" t="str"/>
      <x:c r="B303" s="94" t="str">
        <x:f>IFERROR(INDEX(Employees!$A$2:$A$500,MATCH(A303,Employees!$B$2:$B$500,0)),"")</x:f>
      </x:c>
      <x:c r="C303" s="45"/>
      <x:c r="D303" s="43" t="str">
        <x:f>IFERROR(VLOOKUP(C303,Employees!$A$2:$B$500,2,FALSE),"")</x:f>
      </x:c>
      <x:c r="E303" s="42"/>
      <x:c r="F303" s="105"/>
      <x:c r="G303" s="106"/>
    </x:row>
    <x:row r="304" ht="22" customHeight="1">
      <x:c r="A304" s="92" t="str"/>
      <x:c r="B304" s="94" t="str">
        <x:f>IFERROR(INDEX(Employees!$A$2:$A$500,MATCH(A304,Employees!$B$2:$B$500,0)),"")</x:f>
      </x:c>
      <x:c r="C304" s="45"/>
      <x:c r="D304" s="43" t="str">
        <x:f>IFERROR(VLOOKUP(C304,Employees!$A$2:$B$500,2,FALSE),"")</x:f>
      </x:c>
      <x:c r="E304" s="42"/>
      <x:c r="F304" s="105"/>
      <x:c r="G304" s="106"/>
    </x:row>
    <x:row r="305" ht="22" customHeight="1">
      <x:c r="A305" s="92" t="str"/>
      <x:c r="B305" s="94" t="str">
        <x:f>IFERROR(INDEX(Employees!$A$2:$A$500,MATCH(A305,Employees!$B$2:$B$500,0)),"")</x:f>
      </x:c>
      <x:c r="C305" s="45"/>
      <x:c r="D305" s="43" t="str">
        <x:f>IFERROR(VLOOKUP(C305,Employees!$A$2:$B$500,2,FALSE),"")</x:f>
      </x:c>
      <x:c r="E305" s="42"/>
      <x:c r="F305" s="105"/>
      <x:c r="G305" s="106"/>
    </x:row>
    <x:row r="306" ht="22" customHeight="1">
      <x:c r="A306" s="92" t="str"/>
      <x:c r="B306" s="94" t="str">
        <x:f>IFERROR(INDEX(Employees!$A$2:$A$500,MATCH(A306,Employees!$B$2:$B$500,0)),"")</x:f>
      </x:c>
      <x:c r="C306" s="45"/>
      <x:c r="D306" s="43" t="str">
        <x:f>IFERROR(VLOOKUP(C306,Employees!$A$2:$B$500,2,FALSE),"")</x:f>
      </x:c>
      <x:c r="E306" s="42"/>
      <x:c r="F306" s="105"/>
      <x:c r="G306" s="106"/>
    </x:row>
    <x:row r="307" ht="22" customHeight="1">
      <x:c r="A307" s="92" t="str"/>
      <x:c r="B307" s="94" t="str">
        <x:f>IFERROR(INDEX(Employees!$A$2:$A$500,MATCH(A307,Employees!$B$2:$B$500,0)),"")</x:f>
      </x:c>
      <x:c r="C307" s="45"/>
      <x:c r="D307" s="43" t="str">
        <x:f>IFERROR(VLOOKUP(C307,Employees!$A$2:$B$500,2,FALSE),"")</x:f>
      </x:c>
      <x:c r="E307" s="42"/>
      <x:c r="F307" s="105"/>
      <x:c r="G307" s="106"/>
    </x:row>
    <x:row r="308" ht="22" customHeight="1">
      <x:c r="A308" s="92" t="str"/>
      <x:c r="B308" s="94" t="str">
        <x:f>IFERROR(INDEX(Employees!$A$2:$A$500,MATCH(A308,Employees!$B$2:$B$500,0)),"")</x:f>
      </x:c>
      <x:c r="C308" s="45"/>
      <x:c r="D308" s="43" t="str">
        <x:f>IFERROR(VLOOKUP(C308,Employees!$A$2:$B$500,2,FALSE),"")</x:f>
      </x:c>
      <x:c r="E308" s="42"/>
      <x:c r="F308" s="105"/>
      <x:c r="G308" s="106"/>
    </x:row>
    <x:row r="309" ht="22" customHeight="1">
      <x:c r="A309" s="92" t="str"/>
      <x:c r="B309" s="94" t="str">
        <x:f>IFERROR(INDEX(Employees!$A$2:$A$500,MATCH(A309,Employees!$B$2:$B$500,0)),"")</x:f>
      </x:c>
      <x:c r="C309" s="45"/>
      <x:c r="D309" s="43" t="str">
        <x:f>IFERROR(VLOOKUP(C309,Employees!$A$2:$B$500,2,FALSE),"")</x:f>
      </x:c>
      <x:c r="E309" s="42"/>
      <x:c r="F309" s="105"/>
      <x:c r="G309" s="106"/>
    </x:row>
    <x:row r="310" ht="22" customHeight="1">
      <x:c r="A310" s="92" t="str"/>
      <x:c r="B310" s="94" t="str">
        <x:f>IFERROR(INDEX(Employees!$A$2:$A$500,MATCH(A310,Employees!$B$2:$B$500,0)),"")</x:f>
      </x:c>
      <x:c r="C310" s="45"/>
      <x:c r="D310" s="43" t="str">
        <x:f>IFERROR(VLOOKUP(C310,Employees!$A$2:$B$500,2,FALSE),"")</x:f>
      </x:c>
      <x:c r="E310" s="42"/>
      <x:c r="F310" s="105"/>
      <x:c r="G310" s="106"/>
    </x:row>
    <x:row r="311" ht="22" customHeight="1">
      <x:c r="A311" s="92" t="str"/>
      <x:c r="B311" s="94" t="str">
        <x:f>IFERROR(INDEX(Employees!$A$2:$A$500,MATCH(A311,Employees!$B$2:$B$500,0)),"")</x:f>
      </x:c>
      <x:c r="C311" s="45"/>
      <x:c r="D311" s="43" t="str">
        <x:f>IFERROR(VLOOKUP(C311,Employees!$A$2:$B$500,2,FALSE),"")</x:f>
      </x:c>
      <x:c r="E311" s="42"/>
      <x:c r="F311" s="105"/>
      <x:c r="G311" s="106"/>
    </x:row>
    <x:row r="312" ht="22" customHeight="1">
      <x:c r="A312" s="92" t="str"/>
      <x:c r="B312" s="94" t="str">
        <x:f>IFERROR(INDEX(Employees!$A$2:$A$500,MATCH(A312,Employees!$B$2:$B$500,0)),"")</x:f>
      </x:c>
      <x:c r="C312" s="45"/>
      <x:c r="D312" s="43" t="str">
        <x:f>IFERROR(VLOOKUP(C312,Employees!$A$2:$B$500,2,FALSE),"")</x:f>
      </x:c>
      <x:c r="E312" s="42"/>
      <x:c r="F312" s="105"/>
      <x:c r="G312" s="106"/>
    </x:row>
    <x:row r="313" ht="22" customHeight="1">
      <x:c r="A313" s="92" t="str"/>
      <x:c r="B313" s="94" t="str">
        <x:f>IFERROR(INDEX(Employees!$A$2:$A$500,MATCH(A313,Employees!$B$2:$B$500,0)),"")</x:f>
      </x:c>
      <x:c r="C313" s="45"/>
      <x:c r="D313" s="43" t="str">
        <x:f>IFERROR(VLOOKUP(C313,Employees!$A$2:$B$500,2,FALSE),"")</x:f>
      </x:c>
      <x:c r="E313" s="42"/>
      <x:c r="F313" s="105"/>
      <x:c r="G313" s="106"/>
    </x:row>
    <x:row r="314" ht="22" customHeight="1">
      <x:c r="A314" s="92" t="str"/>
      <x:c r="B314" s="94" t="str">
        <x:f>IFERROR(INDEX(Employees!$A$2:$A$500,MATCH(A314,Employees!$B$2:$B$500,0)),"")</x:f>
      </x:c>
      <x:c r="C314" s="45"/>
      <x:c r="D314" s="43" t="str">
        <x:f>IFERROR(VLOOKUP(C314,Employees!$A$2:$B$500,2,FALSE),"")</x:f>
      </x:c>
      <x:c r="E314" s="42"/>
      <x:c r="F314" s="105"/>
      <x:c r="G314" s="106"/>
    </x:row>
    <x:row r="315" ht="22" customHeight="1">
      <x:c r="A315" s="92" t="str"/>
      <x:c r="B315" s="94" t="str">
        <x:f>IFERROR(INDEX(Employees!$A$2:$A$500,MATCH(A315,Employees!$B$2:$B$500,0)),"")</x:f>
      </x:c>
      <x:c r="C315" s="45"/>
      <x:c r="D315" s="43" t="str">
        <x:f>IFERROR(VLOOKUP(C315,Employees!$A$2:$B$500,2,FALSE),"")</x:f>
      </x:c>
      <x:c r="E315" s="42"/>
      <x:c r="F315" s="105"/>
      <x:c r="G315" s="106"/>
    </x:row>
    <x:row r="316" ht="22" customHeight="1">
      <x:c r="A316" s="92" t="str"/>
      <x:c r="B316" s="94" t="str">
        <x:f>IFERROR(INDEX(Employees!$A$2:$A$500,MATCH(A316,Employees!$B$2:$B$500,0)),"")</x:f>
      </x:c>
      <x:c r="C316" s="45"/>
      <x:c r="D316" s="43" t="str">
        <x:f>IFERROR(VLOOKUP(C316,Employees!$A$2:$B$500,2,FALSE),"")</x:f>
      </x:c>
      <x:c r="E316" s="42"/>
      <x:c r="F316" s="105"/>
      <x:c r="G316" s="106"/>
    </x:row>
    <x:row r="317" ht="22" customHeight="1">
      <x:c r="A317" s="92" t="str"/>
      <x:c r="B317" s="94" t="str">
        <x:f>IFERROR(INDEX(Employees!$A$2:$A$500,MATCH(A317,Employees!$B$2:$B$500,0)),"")</x:f>
      </x:c>
      <x:c r="C317" s="45"/>
      <x:c r="D317" s="43" t="str">
        <x:f>IFERROR(VLOOKUP(C317,Employees!$A$2:$B$500,2,FALSE),"")</x:f>
      </x:c>
      <x:c r="E317" s="42"/>
      <x:c r="F317" s="105"/>
      <x:c r="G317" s="106"/>
    </x:row>
    <x:row r="318" ht="22" customHeight="1">
      <x:c r="A318" s="92" t="str"/>
      <x:c r="B318" s="94" t="str">
        <x:f>IFERROR(INDEX(Employees!$A$2:$A$500,MATCH(A318,Employees!$B$2:$B$500,0)),"")</x:f>
      </x:c>
      <x:c r="C318" s="45"/>
      <x:c r="D318" s="43" t="str">
        <x:f>IFERROR(VLOOKUP(C318,Employees!$A$2:$B$500,2,FALSE),"")</x:f>
      </x:c>
      <x:c r="E318" s="42"/>
      <x:c r="F318" s="105"/>
      <x:c r="G318" s="106"/>
    </x:row>
    <x:row r="319" ht="22" customHeight="1">
      <x:c r="A319" s="92" t="str"/>
      <x:c r="B319" s="94" t="str">
        <x:f>IFERROR(INDEX(Employees!$A$2:$A$500,MATCH(A319,Employees!$B$2:$B$500,0)),"")</x:f>
      </x:c>
      <x:c r="C319" s="45"/>
      <x:c r="D319" s="43" t="str">
        <x:f>IFERROR(VLOOKUP(C319,Employees!$A$2:$B$500,2,FALSE),"")</x:f>
      </x:c>
      <x:c r="E319" s="42"/>
      <x:c r="F319" s="105"/>
      <x:c r="G319" s="106"/>
    </x:row>
    <x:row r="320" ht="22" customHeight="1">
      <x:c r="A320" s="92" t="str"/>
      <x:c r="B320" s="94" t="str">
        <x:f>IFERROR(INDEX(Employees!$A$2:$A$500,MATCH(A320,Employees!$B$2:$B$500,0)),"")</x:f>
      </x:c>
      <x:c r="C320" s="45"/>
      <x:c r="D320" s="43" t="str">
        <x:f>IFERROR(VLOOKUP(C320,Employees!$A$2:$B$500,2,FALSE),"")</x:f>
      </x:c>
      <x:c r="E320" s="42"/>
      <x:c r="F320" s="105"/>
      <x:c r="G320" s="106"/>
    </x:row>
    <x:row r="321" ht="22" customHeight="1">
      <x:c r="A321" s="92" t="str"/>
      <x:c r="B321" s="94" t="str">
        <x:f>IFERROR(INDEX(Employees!$A$2:$A$500,MATCH(A321,Employees!$B$2:$B$500,0)),"")</x:f>
      </x:c>
      <x:c r="C321" s="45"/>
      <x:c r="D321" s="43" t="str">
        <x:f>IFERROR(VLOOKUP(C321,Employees!$A$2:$B$500,2,FALSE),"")</x:f>
      </x:c>
      <x:c r="E321" s="42"/>
      <x:c r="F321" s="105"/>
      <x:c r="G321" s="106"/>
    </x:row>
    <x:row r="322" ht="22" customHeight="1">
      <x:c r="A322" s="92" t="str"/>
      <x:c r="B322" s="94" t="str">
        <x:f>IFERROR(INDEX(Employees!$A$2:$A$500,MATCH(A322,Employees!$B$2:$B$500,0)),"")</x:f>
      </x:c>
      <x:c r="C322" s="45"/>
      <x:c r="D322" s="43" t="str">
        <x:f>IFERROR(VLOOKUP(C322,Employees!$A$2:$B$500,2,FALSE),"")</x:f>
      </x:c>
      <x:c r="E322" s="42"/>
      <x:c r="F322" s="105"/>
      <x:c r="G322" s="106"/>
    </x:row>
    <x:row r="323" ht="22" customHeight="1">
      <x:c r="A323" s="92" t="str"/>
      <x:c r="B323" s="94" t="str">
        <x:f>IFERROR(INDEX(Employees!$A$2:$A$500,MATCH(A323,Employees!$B$2:$B$500,0)),"")</x:f>
      </x:c>
      <x:c r="C323" s="45"/>
      <x:c r="D323" s="43" t="str">
        <x:f>IFERROR(VLOOKUP(C323,Employees!$A$2:$B$500,2,FALSE),"")</x:f>
      </x:c>
      <x:c r="E323" s="42"/>
      <x:c r="F323" s="105"/>
      <x:c r="G323" s="106"/>
    </x:row>
    <x:row r="324" ht="22" customHeight="1">
      <x:c r="A324" s="92" t="str"/>
      <x:c r="B324" s="94" t="str">
        <x:f>IFERROR(INDEX(Employees!$A$2:$A$500,MATCH(A324,Employees!$B$2:$B$500,0)),"")</x:f>
      </x:c>
      <x:c r="C324" s="45"/>
      <x:c r="D324" s="43" t="str">
        <x:f>IFERROR(VLOOKUP(C324,Employees!$A$2:$B$500,2,FALSE),"")</x:f>
      </x:c>
      <x:c r="E324" s="42"/>
      <x:c r="F324" s="105"/>
      <x:c r="G324" s="106"/>
    </x:row>
    <x:row r="325" ht="22" customHeight="1">
      <x:c r="A325" s="92" t="str"/>
      <x:c r="B325" s="94" t="str">
        <x:f>IFERROR(INDEX(Employees!$A$2:$A$500,MATCH(A325,Employees!$B$2:$B$500,0)),"")</x:f>
      </x:c>
      <x:c r="C325" s="45"/>
      <x:c r="D325" s="43" t="str">
        <x:f>IFERROR(VLOOKUP(C325,Employees!$A$2:$B$500,2,FALSE),"")</x:f>
      </x:c>
      <x:c r="E325" s="42"/>
      <x:c r="F325" s="105"/>
      <x:c r="G325" s="106"/>
    </x:row>
    <x:row r="326" ht="22" customHeight="1">
      <x:c r="A326" s="92" t="str"/>
      <x:c r="B326" s="94" t="str">
        <x:f>IFERROR(INDEX(Employees!$A$2:$A$500,MATCH(A326,Employees!$B$2:$B$500,0)),"")</x:f>
      </x:c>
      <x:c r="C326" s="45"/>
      <x:c r="D326" s="43" t="str">
        <x:f>IFERROR(VLOOKUP(C326,Employees!$A$2:$B$500,2,FALSE),"")</x:f>
      </x:c>
      <x:c r="E326" s="42"/>
      <x:c r="F326" s="105"/>
      <x:c r="G326" s="106"/>
    </x:row>
    <x:row r="327" ht="22" customHeight="1">
      <x:c r="A327" s="92" t="str"/>
      <x:c r="B327" s="94" t="str">
        <x:f>IFERROR(INDEX(Employees!$A$2:$A$500,MATCH(A327,Employees!$B$2:$B$500,0)),"")</x:f>
      </x:c>
      <x:c r="C327" s="45"/>
      <x:c r="D327" s="43" t="str">
        <x:f>IFERROR(VLOOKUP(C327,Employees!$A$2:$B$500,2,FALSE),"")</x:f>
      </x:c>
      <x:c r="E327" s="42"/>
      <x:c r="F327" s="105"/>
      <x:c r="G327" s="106"/>
    </x:row>
    <x:row r="328" ht="22" customHeight="1">
      <x:c r="A328" s="92" t="str"/>
      <x:c r="B328" s="94" t="str">
        <x:f>IFERROR(INDEX(Employees!$A$2:$A$500,MATCH(A328,Employees!$B$2:$B$500,0)),"")</x:f>
      </x:c>
      <x:c r="C328" s="45"/>
      <x:c r="D328" s="43" t="str">
        <x:f>IFERROR(VLOOKUP(C328,Employees!$A$2:$B$500,2,FALSE),"")</x:f>
      </x:c>
      <x:c r="E328" s="42"/>
      <x:c r="F328" s="105"/>
      <x:c r="G328" s="106"/>
    </x:row>
    <x:row r="329" ht="22" customHeight="1">
      <x:c r="A329" s="92" t="str"/>
      <x:c r="B329" s="94" t="str">
        <x:f>IFERROR(INDEX(Employees!$A$2:$A$500,MATCH(A329,Employees!$B$2:$B$500,0)),"")</x:f>
      </x:c>
      <x:c r="C329" s="45"/>
      <x:c r="D329" s="43" t="str">
        <x:f>IFERROR(VLOOKUP(C329,Employees!$A$2:$B$500,2,FALSE),"")</x:f>
      </x:c>
      <x:c r="E329" s="42"/>
      <x:c r="F329" s="105"/>
      <x:c r="G329" s="106"/>
    </x:row>
    <x:row r="330" ht="22" customHeight="1">
      <x:c r="A330" s="92" t="str"/>
      <x:c r="B330" s="94" t="str">
        <x:f>IFERROR(INDEX(Employees!$A$2:$A$500,MATCH(A330,Employees!$B$2:$B$500,0)),"")</x:f>
      </x:c>
      <x:c r="C330" s="45"/>
      <x:c r="D330" s="43" t="str">
        <x:f>IFERROR(VLOOKUP(C330,Employees!$A$2:$B$500,2,FALSE),"")</x:f>
      </x:c>
      <x:c r="E330" s="42"/>
      <x:c r="F330" s="105"/>
      <x:c r="G330" s="106"/>
    </x:row>
    <x:row r="331" ht="22" customHeight="1">
      <x:c r="A331" s="92" t="str"/>
      <x:c r="B331" s="94" t="str">
        <x:f>IFERROR(INDEX(Employees!$A$2:$A$500,MATCH(A331,Employees!$B$2:$B$500,0)),"")</x:f>
      </x:c>
      <x:c r="C331" s="45"/>
      <x:c r="D331" s="43" t="str">
        <x:f>IFERROR(VLOOKUP(C331,Employees!$A$2:$B$500,2,FALSE),"")</x:f>
      </x:c>
      <x:c r="E331" s="42"/>
      <x:c r="F331" s="105"/>
      <x:c r="G331" s="106"/>
    </x:row>
    <x:row r="332" ht="22" customHeight="1">
      <x:c r="A332" s="92" t="str"/>
      <x:c r="B332" s="94" t="str">
        <x:f>IFERROR(INDEX(Employees!$A$2:$A$500,MATCH(A332,Employees!$B$2:$B$500,0)),"")</x:f>
      </x:c>
      <x:c r="C332" s="45"/>
      <x:c r="D332" s="43" t="str">
        <x:f>IFERROR(VLOOKUP(C332,Employees!$A$2:$B$500,2,FALSE),"")</x:f>
      </x:c>
      <x:c r="E332" s="42"/>
      <x:c r="F332" s="105"/>
      <x:c r="G332" s="106"/>
    </x:row>
    <x:row r="333" ht="22" customHeight="1">
      <x:c r="A333" s="92" t="str"/>
      <x:c r="B333" s="94" t="str">
        <x:f>IFERROR(INDEX(Employees!$A$2:$A$500,MATCH(A333,Employees!$B$2:$B$500,0)),"")</x:f>
      </x:c>
      <x:c r="C333" s="45"/>
      <x:c r="D333" s="43" t="str">
        <x:f>IFERROR(VLOOKUP(C333,Employees!$A$2:$B$500,2,FALSE),"")</x:f>
      </x:c>
      <x:c r="E333" s="42"/>
      <x:c r="F333" s="105"/>
      <x:c r="G333" s="106"/>
    </x:row>
    <x:row r="334" ht="22" customHeight="1">
      <x:c r="A334" s="92" t="str"/>
      <x:c r="B334" s="94" t="str">
        <x:f>IFERROR(INDEX(Employees!$A$2:$A$500,MATCH(A334,Employees!$B$2:$B$500,0)),"")</x:f>
      </x:c>
      <x:c r="C334" s="45"/>
      <x:c r="D334" s="43" t="str">
        <x:f>IFERROR(VLOOKUP(C334,Employees!$A$2:$B$500,2,FALSE),"")</x:f>
      </x:c>
      <x:c r="E334" s="42"/>
      <x:c r="F334" s="105"/>
      <x:c r="G334" s="106"/>
    </x:row>
    <x:row r="335" ht="22" customHeight="1">
      <x:c r="A335" s="92" t="str"/>
      <x:c r="B335" s="94" t="str">
        <x:f>IFERROR(INDEX(Employees!$A$2:$A$500,MATCH(A335,Employees!$B$2:$B$500,0)),"")</x:f>
      </x:c>
      <x:c r="C335" s="45"/>
      <x:c r="D335" s="43" t="str">
        <x:f>IFERROR(VLOOKUP(C335,Employees!$A$2:$B$500,2,FALSE),"")</x:f>
      </x:c>
      <x:c r="E335" s="42"/>
      <x:c r="F335" s="105"/>
      <x:c r="G335" s="106"/>
    </x:row>
    <x:row r="336" ht="22" customHeight="1">
      <x:c r="A336" s="92" t="str"/>
      <x:c r="B336" s="94" t="str">
        <x:f>IFERROR(INDEX(Employees!$A$2:$A$500,MATCH(A336,Employees!$B$2:$B$500,0)),"")</x:f>
      </x:c>
      <x:c r="C336" s="45"/>
      <x:c r="D336" s="43" t="str">
        <x:f>IFERROR(VLOOKUP(C336,Employees!$A$2:$B$500,2,FALSE),"")</x:f>
      </x:c>
      <x:c r="E336" s="42"/>
      <x:c r="F336" s="105"/>
      <x:c r="G336" s="106"/>
    </x:row>
    <x:row r="337" ht="22" customHeight="1">
      <x:c r="A337" s="92" t="str"/>
      <x:c r="B337" s="94" t="str">
        <x:f>IFERROR(INDEX(Employees!$A$2:$A$500,MATCH(A337,Employees!$B$2:$B$500,0)),"")</x:f>
      </x:c>
      <x:c r="C337" s="45"/>
      <x:c r="D337" s="43" t="str">
        <x:f>IFERROR(VLOOKUP(C337,Employees!$A$2:$B$500,2,FALSE),"")</x:f>
      </x:c>
      <x:c r="E337" s="42"/>
      <x:c r="F337" s="105"/>
      <x:c r="G337" s="106"/>
    </x:row>
    <x:row r="338" ht="22" customHeight="1">
      <x:c r="A338" s="92" t="str"/>
      <x:c r="B338" s="94" t="str">
        <x:f>IFERROR(INDEX(Employees!$A$2:$A$500,MATCH(A338,Employees!$B$2:$B$500,0)),"")</x:f>
      </x:c>
      <x:c r="C338" s="45"/>
      <x:c r="D338" s="43" t="str">
        <x:f>IFERROR(VLOOKUP(C338,Employees!$A$2:$B$500,2,FALSE),"")</x:f>
      </x:c>
      <x:c r="E338" s="42"/>
      <x:c r="F338" s="105"/>
      <x:c r="G338" s="106"/>
    </x:row>
    <x:row r="339" ht="22" customHeight="1">
      <x:c r="A339" s="92" t="str"/>
      <x:c r="B339" s="94" t="str">
        <x:f>IFERROR(INDEX(Employees!$A$2:$A$500,MATCH(A339,Employees!$B$2:$B$500,0)),"")</x:f>
      </x:c>
      <x:c r="C339" s="45"/>
      <x:c r="D339" s="43" t="str">
        <x:f>IFERROR(VLOOKUP(C339,Employees!$A$2:$B$500,2,FALSE),"")</x:f>
      </x:c>
      <x:c r="E339" s="42"/>
      <x:c r="F339" s="105"/>
      <x:c r="G339" s="106"/>
    </x:row>
    <x:row r="340" ht="22" customHeight="1">
      <x:c r="A340" s="92" t="str"/>
      <x:c r="B340" s="94" t="str">
        <x:f>IFERROR(INDEX(Employees!$A$2:$A$500,MATCH(A340,Employees!$B$2:$B$500,0)),"")</x:f>
      </x:c>
      <x:c r="C340" s="45"/>
      <x:c r="D340" s="43" t="str">
        <x:f>IFERROR(VLOOKUP(C340,Employees!$A$2:$B$500,2,FALSE),"")</x:f>
      </x:c>
      <x:c r="E340" s="42"/>
      <x:c r="F340" s="105"/>
      <x:c r="G340" s="106"/>
    </x:row>
    <x:row r="341" ht="22" customHeight="1">
      <x:c r="A341" s="92" t="str"/>
      <x:c r="B341" s="94" t="str">
        <x:f>IFERROR(INDEX(Employees!$A$2:$A$500,MATCH(A341,Employees!$B$2:$B$500,0)),"")</x:f>
      </x:c>
      <x:c r="C341" s="45"/>
      <x:c r="D341" s="43" t="str">
        <x:f>IFERROR(VLOOKUP(C341,Employees!$A$2:$B$500,2,FALSE),"")</x:f>
      </x:c>
      <x:c r="E341" s="42"/>
      <x:c r="F341" s="105"/>
      <x:c r="G341" s="106"/>
    </x:row>
    <x:row r="342" ht="22" customHeight="1">
      <x:c r="A342" s="92" t="str"/>
      <x:c r="B342" s="94" t="str">
        <x:f>IFERROR(INDEX(Employees!$A$2:$A$500,MATCH(A342,Employees!$B$2:$B$500,0)),"")</x:f>
      </x:c>
      <x:c r="C342" s="45"/>
      <x:c r="D342" s="43" t="str">
        <x:f>IFERROR(VLOOKUP(C342,Employees!$A$2:$B$500,2,FALSE),"")</x:f>
      </x:c>
      <x:c r="E342" s="42"/>
      <x:c r="F342" s="105"/>
      <x:c r="G342" s="106"/>
    </x:row>
    <x:row r="343" ht="22" customHeight="1">
      <x:c r="A343" s="92" t="str"/>
      <x:c r="B343" s="94" t="str">
        <x:f>IFERROR(INDEX(Employees!$A$2:$A$500,MATCH(A343,Employees!$B$2:$B$500,0)),"")</x:f>
      </x:c>
      <x:c r="C343" s="45"/>
      <x:c r="D343" s="43" t="str">
        <x:f>IFERROR(VLOOKUP(C343,Employees!$A$2:$B$500,2,FALSE),"")</x:f>
      </x:c>
      <x:c r="E343" s="42"/>
      <x:c r="F343" s="105"/>
      <x:c r="G343" s="106"/>
    </x:row>
    <x:row r="344" ht="22" customHeight="1">
      <x:c r="A344" s="92" t="str"/>
      <x:c r="B344" s="94" t="str">
        <x:f>IFERROR(INDEX(Employees!$A$2:$A$500,MATCH(A344,Employees!$B$2:$B$500,0)),"")</x:f>
      </x:c>
      <x:c r="C344" s="45"/>
      <x:c r="D344" s="43" t="str">
        <x:f>IFERROR(VLOOKUP(C344,Employees!$A$2:$B$500,2,FALSE),"")</x:f>
      </x:c>
      <x:c r="E344" s="42"/>
      <x:c r="F344" s="105"/>
      <x:c r="G344" s="106"/>
    </x:row>
    <x:row r="345" ht="22" customHeight="1">
      <x:c r="A345" s="92" t="str"/>
      <x:c r="B345" s="94" t="str">
        <x:f>IFERROR(INDEX(Employees!$A$2:$A$500,MATCH(A345,Employees!$B$2:$B$500,0)),"")</x:f>
      </x:c>
      <x:c r="C345" s="45"/>
      <x:c r="D345" s="43" t="str">
        <x:f>IFERROR(VLOOKUP(C345,Employees!$A$2:$B$500,2,FALSE),"")</x:f>
      </x:c>
      <x:c r="E345" s="42"/>
      <x:c r="F345" s="105"/>
      <x:c r="G345" s="106"/>
    </x:row>
    <x:row r="346" ht="22" customHeight="1">
      <x:c r="A346" s="92" t="str"/>
      <x:c r="B346" s="94" t="str">
        <x:f>IFERROR(INDEX(Employees!$A$2:$A$500,MATCH(A346,Employees!$B$2:$B$500,0)),"")</x:f>
      </x:c>
      <x:c r="C346" s="45"/>
      <x:c r="D346" s="43" t="str">
        <x:f>IFERROR(VLOOKUP(C346,Employees!$A$2:$B$500,2,FALSE),"")</x:f>
      </x:c>
      <x:c r="E346" s="42"/>
      <x:c r="F346" s="105"/>
      <x:c r="G346" s="106"/>
    </x:row>
    <x:row r="347" ht="22" customHeight="1">
      <x:c r="A347" s="92" t="str"/>
      <x:c r="B347" s="94" t="str">
        <x:f>IFERROR(INDEX(Employees!$A$2:$A$500,MATCH(A347,Employees!$B$2:$B$500,0)),"")</x:f>
      </x:c>
      <x:c r="C347" s="45"/>
      <x:c r="D347" s="43" t="str">
        <x:f>IFERROR(VLOOKUP(C347,Employees!$A$2:$B$500,2,FALSE),"")</x:f>
      </x:c>
      <x:c r="E347" s="42"/>
      <x:c r="F347" s="105"/>
      <x:c r="G347" s="106"/>
    </x:row>
    <x:row r="348" ht="22" customHeight="1">
      <x:c r="A348" s="92" t="str"/>
      <x:c r="B348" s="94" t="str">
        <x:f>IFERROR(INDEX(Employees!$A$2:$A$500,MATCH(A348,Employees!$B$2:$B$500,0)),"")</x:f>
      </x:c>
      <x:c r="C348" s="45"/>
      <x:c r="D348" s="43" t="str">
        <x:f>IFERROR(VLOOKUP(C348,Employees!$A$2:$B$500,2,FALSE),"")</x:f>
      </x:c>
      <x:c r="E348" s="42"/>
      <x:c r="F348" s="105"/>
      <x:c r="G348" s="106"/>
    </x:row>
    <x:row r="349" ht="22" customHeight="1">
      <x:c r="A349" s="92" t="str"/>
      <x:c r="B349" s="94" t="str">
        <x:f>IFERROR(INDEX(Employees!$A$2:$A$500,MATCH(A349,Employees!$B$2:$B$500,0)),"")</x:f>
      </x:c>
      <x:c r="C349" s="45"/>
      <x:c r="D349" s="43" t="str">
        <x:f>IFERROR(VLOOKUP(C349,Employees!$A$2:$B$500,2,FALSE),"")</x:f>
      </x:c>
      <x:c r="E349" s="42"/>
      <x:c r="F349" s="105"/>
      <x:c r="G349" s="106"/>
    </x:row>
    <x:row r="350" ht="22" customHeight="1">
      <x:c r="A350" s="92" t="str"/>
      <x:c r="B350" s="94" t="str">
        <x:f>IFERROR(INDEX(Employees!$A$2:$A$500,MATCH(A350,Employees!$B$2:$B$500,0)),"")</x:f>
      </x:c>
      <x:c r="C350" s="45"/>
      <x:c r="D350" s="43" t="str">
        <x:f>IFERROR(VLOOKUP(C350,Employees!$A$2:$B$500,2,FALSE),"")</x:f>
      </x:c>
      <x:c r="E350" s="42"/>
      <x:c r="F350" s="105"/>
      <x:c r="G350" s="106"/>
    </x:row>
    <x:row r="351" ht="22" customHeight="1">
      <x:c r="A351" s="92" t="str"/>
      <x:c r="B351" s="94" t="str">
        <x:f>IFERROR(INDEX(Employees!$A$2:$A$500,MATCH(A351,Employees!$B$2:$B$500,0)),"")</x:f>
      </x:c>
      <x:c r="C351" s="45"/>
      <x:c r="D351" s="43" t="str">
        <x:f>IFERROR(VLOOKUP(C351,Employees!$A$2:$B$500,2,FALSE),"")</x:f>
      </x:c>
      <x:c r="E351" s="42"/>
      <x:c r="F351" s="105"/>
      <x:c r="G351" s="106"/>
    </x:row>
    <x:row r="352" ht="22" customHeight="1">
      <x:c r="A352" s="92" t="str"/>
      <x:c r="B352" s="94" t="str">
        <x:f>IFERROR(INDEX(Employees!$A$2:$A$500,MATCH(A352,Employees!$B$2:$B$500,0)),"")</x:f>
      </x:c>
      <x:c r="C352" s="45"/>
      <x:c r="D352" s="43" t="str">
        <x:f>IFERROR(VLOOKUP(C352,Employees!$A$2:$B$500,2,FALSE),"")</x:f>
      </x:c>
      <x:c r="E352" s="42"/>
      <x:c r="F352" s="105"/>
      <x:c r="G352" s="106"/>
    </x:row>
    <x:row r="353" ht="22" customHeight="1">
      <x:c r="A353" s="92" t="str"/>
      <x:c r="B353" s="94" t="str">
        <x:f>IFERROR(INDEX(Employees!$A$2:$A$500,MATCH(A353,Employees!$B$2:$B$500,0)),"")</x:f>
      </x:c>
      <x:c r="C353" s="45"/>
      <x:c r="D353" s="43" t="str">
        <x:f>IFERROR(VLOOKUP(C353,Employees!$A$2:$B$500,2,FALSE),"")</x:f>
      </x:c>
      <x:c r="E353" s="42"/>
      <x:c r="F353" s="105"/>
      <x:c r="G353" s="106"/>
    </x:row>
    <x:row r="354" ht="22" customHeight="1">
      <x:c r="A354" s="92" t="str"/>
      <x:c r="B354" s="94" t="str">
        <x:f>IFERROR(INDEX(Employees!$A$2:$A$500,MATCH(A354,Employees!$B$2:$B$500,0)),"")</x:f>
      </x:c>
      <x:c r="C354" s="45"/>
      <x:c r="D354" s="43" t="str">
        <x:f>IFERROR(VLOOKUP(C354,Employees!$A$2:$B$500,2,FALSE),"")</x:f>
      </x:c>
      <x:c r="E354" s="42"/>
      <x:c r="F354" s="105"/>
      <x:c r="G354" s="106"/>
    </x:row>
    <x:row r="355" ht="22" customHeight="1">
      <x:c r="A355" s="92" t="str"/>
      <x:c r="B355" s="94" t="str">
        <x:f>IFERROR(INDEX(Employees!$A$2:$A$500,MATCH(A355,Employees!$B$2:$B$500,0)),"")</x:f>
      </x:c>
      <x:c r="C355" s="45"/>
      <x:c r="D355" s="43" t="str">
        <x:f>IFERROR(VLOOKUP(C355,Employees!$A$2:$B$500,2,FALSE),"")</x:f>
      </x:c>
      <x:c r="E355" s="42"/>
      <x:c r="F355" s="105"/>
      <x:c r="G355" s="106"/>
    </x:row>
    <x:row r="356" ht="22" customHeight="1">
      <x:c r="A356" s="92" t="str"/>
      <x:c r="B356" s="94" t="str">
        <x:f>IFERROR(INDEX(Employees!$A$2:$A$500,MATCH(A356,Employees!$B$2:$B$500,0)),"")</x:f>
      </x:c>
      <x:c r="C356" s="45"/>
      <x:c r="D356" s="43" t="str">
        <x:f>IFERROR(VLOOKUP(C356,Employees!$A$2:$B$500,2,FALSE),"")</x:f>
      </x:c>
      <x:c r="E356" s="42"/>
      <x:c r="F356" s="105"/>
      <x:c r="G356" s="106"/>
    </x:row>
    <x:row r="357" ht="22" customHeight="1">
      <x:c r="A357" s="92" t="str"/>
      <x:c r="B357" s="94" t="str">
        <x:f>IFERROR(INDEX(Employees!$A$2:$A$500,MATCH(A357,Employees!$B$2:$B$500,0)),"")</x:f>
      </x:c>
      <x:c r="C357" s="45"/>
      <x:c r="D357" s="43" t="str">
        <x:f>IFERROR(VLOOKUP(C357,Employees!$A$2:$B$500,2,FALSE),"")</x:f>
      </x:c>
      <x:c r="E357" s="42"/>
      <x:c r="F357" s="105"/>
      <x:c r="G357" s="106"/>
    </x:row>
    <x:row r="358" ht="22" customHeight="1">
      <x:c r="A358" s="92" t="str"/>
      <x:c r="B358" s="94" t="str">
        <x:f>IFERROR(INDEX(Employees!$A$2:$A$500,MATCH(A358,Employees!$B$2:$B$500,0)),"")</x:f>
      </x:c>
      <x:c r="C358" s="45"/>
      <x:c r="D358" s="43" t="str">
        <x:f>IFERROR(VLOOKUP(C358,Employees!$A$2:$B$500,2,FALSE),"")</x:f>
      </x:c>
      <x:c r="E358" s="42"/>
      <x:c r="F358" s="105"/>
      <x:c r="G358" s="106"/>
    </x:row>
    <x:row r="359" ht="22" customHeight="1">
      <x:c r="A359" s="92" t="str"/>
      <x:c r="B359" s="94" t="str">
        <x:f>IFERROR(INDEX(Employees!$A$2:$A$500,MATCH(A359,Employees!$B$2:$B$500,0)),"")</x:f>
      </x:c>
      <x:c r="C359" s="45"/>
      <x:c r="D359" s="43" t="str">
        <x:f>IFERROR(VLOOKUP(C359,Employees!$A$2:$B$500,2,FALSE),"")</x:f>
      </x:c>
      <x:c r="E359" s="42"/>
      <x:c r="F359" s="105"/>
      <x:c r="G359" s="106"/>
    </x:row>
    <x:row r="360" ht="22" customHeight="1">
      <x:c r="A360" s="92" t="str"/>
      <x:c r="B360" s="94" t="str">
        <x:f>IFERROR(INDEX(Employees!$A$2:$A$500,MATCH(A360,Employees!$B$2:$B$500,0)),"")</x:f>
      </x:c>
      <x:c r="C360" s="45"/>
      <x:c r="D360" s="43" t="str">
        <x:f>IFERROR(VLOOKUP(C360,Employees!$A$2:$B$500,2,FALSE),"")</x:f>
      </x:c>
      <x:c r="E360" s="42"/>
      <x:c r="F360" s="105"/>
      <x:c r="G360" s="106"/>
    </x:row>
    <x:row r="361" ht="22" customHeight="1">
      <x:c r="A361" s="92" t="str"/>
      <x:c r="B361" s="94" t="str">
        <x:f>IFERROR(INDEX(Employees!$A$2:$A$500,MATCH(A361,Employees!$B$2:$B$500,0)),"")</x:f>
      </x:c>
      <x:c r="C361" s="45"/>
      <x:c r="D361" s="43" t="str">
        <x:f>IFERROR(VLOOKUP(C361,Employees!$A$2:$B$500,2,FALSE),"")</x:f>
      </x:c>
      <x:c r="E361" s="42"/>
      <x:c r="F361" s="105"/>
      <x:c r="G361" s="106"/>
    </x:row>
    <x:row r="362" ht="22" customHeight="1">
      <x:c r="A362" s="92" t="str"/>
      <x:c r="B362" s="94" t="str">
        <x:f>IFERROR(INDEX(Employees!$A$2:$A$500,MATCH(A362,Employees!$B$2:$B$500,0)),"")</x:f>
      </x:c>
      <x:c r="C362" s="45"/>
      <x:c r="D362" s="43" t="str">
        <x:f>IFERROR(VLOOKUP(C362,Employees!$A$2:$B$500,2,FALSE),"")</x:f>
      </x:c>
      <x:c r="E362" s="42"/>
      <x:c r="F362" s="105"/>
      <x:c r="G362" s="106"/>
    </x:row>
    <x:row r="363" ht="22" customHeight="1">
      <x:c r="A363" s="92" t="str"/>
      <x:c r="B363" s="94" t="str">
        <x:f>IFERROR(INDEX(Employees!$A$2:$A$500,MATCH(A363,Employees!$B$2:$B$500,0)),"")</x:f>
      </x:c>
      <x:c r="C363" s="45"/>
      <x:c r="D363" s="43" t="str">
        <x:f>IFERROR(VLOOKUP(C363,Employees!$A$2:$B$500,2,FALSE),"")</x:f>
      </x:c>
      <x:c r="E363" s="42"/>
      <x:c r="F363" s="105"/>
      <x:c r="G363" s="106"/>
    </x:row>
    <x:row r="364" ht="22" customHeight="1">
      <x:c r="A364" s="92" t="str"/>
      <x:c r="B364" s="94" t="str">
        <x:f>IFERROR(INDEX(Employees!$A$2:$A$500,MATCH(A364,Employees!$B$2:$B$500,0)),"")</x:f>
      </x:c>
      <x:c r="C364" s="45"/>
      <x:c r="D364" s="43" t="str">
        <x:f>IFERROR(VLOOKUP(C364,Employees!$A$2:$B$500,2,FALSE),"")</x:f>
      </x:c>
      <x:c r="E364" s="42"/>
      <x:c r="F364" s="105"/>
      <x:c r="G364" s="106"/>
    </x:row>
    <x:row r="365" ht="22" customHeight="1">
      <x:c r="A365" s="92" t="str"/>
      <x:c r="B365" s="94" t="str">
        <x:f>IFERROR(INDEX(Employees!$A$2:$A$500,MATCH(A365,Employees!$B$2:$B$500,0)),"")</x:f>
      </x:c>
      <x:c r="C365" s="45"/>
      <x:c r="D365" s="43" t="str">
        <x:f>IFERROR(VLOOKUP(C365,Employees!$A$2:$B$500,2,FALSE),"")</x:f>
      </x:c>
      <x:c r="E365" s="42"/>
      <x:c r="F365" s="105"/>
      <x:c r="G365" s="106"/>
    </x:row>
    <x:row r="366" ht="22" customHeight="1">
      <x:c r="A366" s="92" t="str"/>
      <x:c r="B366" s="94" t="str">
        <x:f>IFERROR(INDEX(Employees!$A$2:$A$500,MATCH(A366,Employees!$B$2:$B$500,0)),"")</x:f>
      </x:c>
      <x:c r="C366" s="45"/>
      <x:c r="D366" s="43" t="str">
        <x:f>IFERROR(VLOOKUP(C366,Employees!$A$2:$B$500,2,FALSE),"")</x:f>
      </x:c>
      <x:c r="E366" s="42"/>
      <x:c r="F366" s="105"/>
      <x:c r="G366" s="106"/>
    </x:row>
    <x:row r="367" ht="22" customHeight="1">
      <x:c r="A367" s="92" t="str"/>
      <x:c r="B367" s="94" t="str">
        <x:f>IFERROR(INDEX(Employees!$A$2:$A$500,MATCH(A367,Employees!$B$2:$B$500,0)),"")</x:f>
      </x:c>
      <x:c r="C367" s="45"/>
      <x:c r="D367" s="43" t="str">
        <x:f>IFERROR(VLOOKUP(C367,Employees!$A$2:$B$500,2,FALSE),"")</x:f>
      </x:c>
      <x:c r="E367" s="42"/>
      <x:c r="F367" s="105"/>
      <x:c r="G367" s="106"/>
    </x:row>
    <x:row r="368" ht="22" customHeight="1">
      <x:c r="A368" s="92" t="str"/>
      <x:c r="B368" s="94" t="str">
        <x:f>IFERROR(INDEX(Employees!$A$2:$A$500,MATCH(A368,Employees!$B$2:$B$500,0)),"")</x:f>
      </x:c>
      <x:c r="C368" s="45"/>
      <x:c r="D368" s="43" t="str">
        <x:f>IFERROR(VLOOKUP(C368,Employees!$A$2:$B$500,2,FALSE),"")</x:f>
      </x:c>
      <x:c r="E368" s="42"/>
      <x:c r="F368" s="105"/>
      <x:c r="G368" s="106"/>
    </x:row>
    <x:row r="369" ht="22" customHeight="1">
      <x:c r="A369" s="92" t="str"/>
      <x:c r="B369" s="94" t="str">
        <x:f>IFERROR(INDEX(Employees!$A$2:$A$500,MATCH(A369,Employees!$B$2:$B$500,0)),"")</x:f>
      </x:c>
      <x:c r="C369" s="45"/>
      <x:c r="D369" s="43" t="str">
        <x:f>IFERROR(VLOOKUP(C369,Employees!$A$2:$B$500,2,FALSE),"")</x:f>
      </x:c>
      <x:c r="E369" s="42"/>
      <x:c r="F369" s="105"/>
      <x:c r="G369" s="106"/>
    </x:row>
    <x:row r="370" ht="22" customHeight="1">
      <x:c r="A370" s="92" t="str"/>
      <x:c r="B370" s="94" t="str">
        <x:f>IFERROR(INDEX(Employees!$A$2:$A$500,MATCH(A370,Employees!$B$2:$B$500,0)),"")</x:f>
      </x:c>
      <x:c r="C370" s="45"/>
      <x:c r="D370" s="43" t="str">
        <x:f>IFERROR(VLOOKUP(C370,Employees!$A$2:$B$500,2,FALSE),"")</x:f>
      </x:c>
      <x:c r="E370" s="42"/>
      <x:c r="F370" s="105"/>
      <x:c r="G370" s="106"/>
    </x:row>
    <x:row r="371" ht="22" customHeight="1">
      <x:c r="A371" s="92" t="str"/>
      <x:c r="B371" s="94" t="str">
        <x:f>IFERROR(INDEX(Employees!$A$2:$A$500,MATCH(A371,Employees!$B$2:$B$500,0)),"")</x:f>
      </x:c>
      <x:c r="C371" s="45"/>
      <x:c r="D371" s="43" t="str">
        <x:f>IFERROR(VLOOKUP(C371,Employees!$A$2:$B$500,2,FALSE),"")</x:f>
      </x:c>
      <x:c r="E371" s="42"/>
      <x:c r="F371" s="105"/>
      <x:c r="G371" s="106"/>
    </x:row>
    <x:row r="372" ht="22" customHeight="1">
      <x:c r="A372" s="92" t="str"/>
      <x:c r="B372" s="94" t="str">
        <x:f>IFERROR(INDEX(Employees!$A$2:$A$500,MATCH(A372,Employees!$B$2:$B$500,0)),"")</x:f>
      </x:c>
      <x:c r="C372" s="45"/>
      <x:c r="D372" s="43" t="str">
        <x:f>IFERROR(VLOOKUP(C372,Employees!$A$2:$B$500,2,FALSE),"")</x:f>
      </x:c>
      <x:c r="E372" s="42"/>
      <x:c r="F372" s="105"/>
      <x:c r="G372" s="106"/>
    </x:row>
    <x:row r="373" ht="22" customHeight="1">
      <x:c r="A373" s="92" t="str"/>
      <x:c r="B373" s="94" t="str">
        <x:f>IFERROR(INDEX(Employees!$A$2:$A$500,MATCH(A373,Employees!$B$2:$B$500,0)),"")</x:f>
      </x:c>
      <x:c r="C373" s="45"/>
      <x:c r="D373" s="43" t="str">
        <x:f>IFERROR(VLOOKUP(C373,Employees!$A$2:$B$500,2,FALSE),"")</x:f>
      </x:c>
      <x:c r="E373" s="42"/>
      <x:c r="F373" s="105"/>
      <x:c r="G373" s="106"/>
    </x:row>
    <x:row r="374" ht="22" customHeight="1">
      <x:c r="A374" s="92" t="str"/>
      <x:c r="B374" s="94" t="str">
        <x:f>IFERROR(INDEX(Employees!$A$2:$A$500,MATCH(A374,Employees!$B$2:$B$500,0)),"")</x:f>
      </x:c>
      <x:c r="C374" s="45"/>
      <x:c r="D374" s="43" t="str">
        <x:f>IFERROR(VLOOKUP(C374,Employees!$A$2:$B$500,2,FALSE),"")</x:f>
      </x:c>
      <x:c r="E374" s="42"/>
      <x:c r="F374" s="105"/>
      <x:c r="G374" s="106"/>
    </x:row>
    <x:row r="375" ht="22" customHeight="1">
      <x:c r="A375" s="92" t="str"/>
      <x:c r="B375" s="94" t="str">
        <x:f>IFERROR(INDEX(Employees!$A$2:$A$500,MATCH(A375,Employees!$B$2:$B$500,0)),"")</x:f>
      </x:c>
      <x:c r="C375" s="45"/>
      <x:c r="D375" s="43" t="str">
        <x:f>IFERROR(VLOOKUP(C375,Employees!$A$2:$B$500,2,FALSE),"")</x:f>
      </x:c>
      <x:c r="E375" s="42"/>
      <x:c r="F375" s="105"/>
      <x:c r="G375" s="106"/>
    </x:row>
    <x:row r="376" ht="22" customHeight="1">
      <x:c r="A376" s="92" t="str"/>
      <x:c r="B376" s="94" t="str">
        <x:f>IFERROR(INDEX(Employees!$A$2:$A$500,MATCH(A376,Employees!$B$2:$B$500,0)),"")</x:f>
      </x:c>
      <x:c r="C376" s="45"/>
      <x:c r="D376" s="43" t="str">
        <x:f>IFERROR(VLOOKUP(C376,Employees!$A$2:$B$500,2,FALSE),"")</x:f>
      </x:c>
      <x:c r="E376" s="42"/>
      <x:c r="F376" s="105"/>
      <x:c r="G376" s="106"/>
    </x:row>
    <x:row r="377" ht="22" customHeight="1">
      <x:c r="A377" s="92" t="str"/>
      <x:c r="B377" s="94" t="str">
        <x:f>IFERROR(INDEX(Employees!$A$2:$A$500,MATCH(A377,Employees!$B$2:$B$500,0)),"")</x:f>
      </x:c>
      <x:c r="C377" s="45"/>
      <x:c r="D377" s="43" t="str">
        <x:f>IFERROR(VLOOKUP(C377,Employees!$A$2:$B$500,2,FALSE),"")</x:f>
      </x:c>
      <x:c r="E377" s="42"/>
      <x:c r="F377" s="105"/>
      <x:c r="G377" s="106"/>
    </x:row>
    <x:row r="378" ht="22" customHeight="1">
      <x:c r="A378" s="92" t="str"/>
      <x:c r="B378" s="94" t="str">
        <x:f>IFERROR(INDEX(Employees!$A$2:$A$500,MATCH(A378,Employees!$B$2:$B$500,0)),"")</x:f>
      </x:c>
      <x:c r="C378" s="45"/>
      <x:c r="D378" s="43" t="str">
        <x:f>IFERROR(VLOOKUP(C378,Employees!$A$2:$B$500,2,FALSE),"")</x:f>
      </x:c>
      <x:c r="E378" s="42"/>
      <x:c r="F378" s="105"/>
      <x:c r="G378" s="106"/>
    </x:row>
    <x:row r="379" ht="22" customHeight="1">
      <x:c r="A379" s="92" t="str"/>
      <x:c r="B379" s="94" t="str">
        <x:f>IFERROR(INDEX(Employees!$A$2:$A$500,MATCH(A379,Employees!$B$2:$B$500,0)),"")</x:f>
      </x:c>
      <x:c r="C379" s="45"/>
      <x:c r="D379" s="43" t="str">
        <x:f>IFERROR(VLOOKUP(C379,Employees!$A$2:$B$500,2,FALSE),"")</x:f>
      </x:c>
      <x:c r="E379" s="42"/>
      <x:c r="F379" s="105"/>
      <x:c r="G379" s="106"/>
    </x:row>
    <x:row r="380" ht="22" customHeight="1">
      <x:c r="A380" s="92" t="str"/>
      <x:c r="B380" s="94" t="str">
        <x:f>IFERROR(INDEX(Employees!$A$2:$A$500,MATCH(A380,Employees!$B$2:$B$500,0)),"")</x:f>
      </x:c>
      <x:c r="C380" s="45"/>
      <x:c r="D380" s="43" t="str">
        <x:f>IFERROR(VLOOKUP(C380,Employees!$A$2:$B$500,2,FALSE),"")</x:f>
      </x:c>
      <x:c r="E380" s="42"/>
      <x:c r="F380" s="105"/>
      <x:c r="G380" s="106"/>
    </x:row>
    <x:row r="381" ht="22" customHeight="1">
      <x:c r="A381" s="92" t="str"/>
      <x:c r="B381" s="94" t="str">
        <x:f>IFERROR(INDEX(Employees!$A$2:$A$500,MATCH(A381,Employees!$B$2:$B$500,0)),"")</x:f>
      </x:c>
      <x:c r="C381" s="45"/>
      <x:c r="D381" s="43" t="str">
        <x:f>IFERROR(VLOOKUP(C381,Employees!$A$2:$B$500,2,FALSE),"")</x:f>
      </x:c>
      <x:c r="E381" s="42"/>
      <x:c r="F381" s="105"/>
      <x:c r="G381" s="106"/>
    </x:row>
    <x:row r="382" ht="22" customHeight="1">
      <x:c r="A382" s="92" t="str"/>
      <x:c r="B382" s="94" t="str">
        <x:f>IFERROR(INDEX(Employees!$A$2:$A$500,MATCH(A382,Employees!$B$2:$B$500,0)),"")</x:f>
      </x:c>
      <x:c r="C382" s="45"/>
      <x:c r="D382" s="43" t="str">
        <x:f>IFERROR(VLOOKUP(C382,Employees!$A$2:$B$500,2,FALSE),"")</x:f>
      </x:c>
      <x:c r="E382" s="42"/>
      <x:c r="F382" s="105"/>
      <x:c r="G382" s="106"/>
    </x:row>
    <x:row r="383" ht="22" customHeight="1">
      <x:c r="A383" s="92" t="str"/>
      <x:c r="B383" s="94" t="str">
        <x:f>IFERROR(INDEX(Employees!$A$2:$A$500,MATCH(A383,Employees!$B$2:$B$500,0)),"")</x:f>
      </x:c>
      <x:c r="C383" s="45"/>
      <x:c r="D383" s="43" t="str">
        <x:f>IFERROR(VLOOKUP(C383,Employees!$A$2:$B$500,2,FALSE),"")</x:f>
      </x:c>
      <x:c r="E383" s="42"/>
      <x:c r="F383" s="105"/>
      <x:c r="G383" s="106"/>
    </x:row>
    <x:row r="384" ht="22" customHeight="1">
      <x:c r="A384" s="92" t="str"/>
      <x:c r="B384" s="94" t="str">
        <x:f>IFERROR(INDEX(Employees!$A$2:$A$500,MATCH(A384,Employees!$B$2:$B$500,0)),"")</x:f>
      </x:c>
      <x:c r="C384" s="45"/>
      <x:c r="D384" s="43" t="str">
        <x:f>IFERROR(VLOOKUP(C384,Employees!$A$2:$B$500,2,FALSE),"")</x:f>
      </x:c>
      <x:c r="E384" s="42"/>
      <x:c r="F384" s="105"/>
      <x:c r="G384" s="106"/>
    </x:row>
    <x:row r="385" ht="22" customHeight="1">
      <x:c r="A385" s="92" t="str"/>
      <x:c r="B385" s="94" t="str">
        <x:f>IFERROR(INDEX(Employees!$A$2:$A$500,MATCH(A385,Employees!$B$2:$B$500,0)),"")</x:f>
      </x:c>
      <x:c r="C385" s="45"/>
      <x:c r="D385" s="43" t="str">
        <x:f>IFERROR(VLOOKUP(C385,Employees!$A$2:$B$500,2,FALSE),"")</x:f>
      </x:c>
      <x:c r="E385" s="42"/>
      <x:c r="F385" s="105"/>
      <x:c r="G385" s="106"/>
    </x:row>
    <x:row r="386" ht="22" customHeight="1">
      <x:c r="A386" s="92" t="str"/>
      <x:c r="B386" s="94" t="str">
        <x:f>IFERROR(INDEX(Employees!$A$2:$A$500,MATCH(A386,Employees!$B$2:$B$500,0)),"")</x:f>
      </x:c>
      <x:c r="C386" s="45"/>
      <x:c r="D386" s="43" t="str">
        <x:f>IFERROR(VLOOKUP(C386,Employees!$A$2:$B$500,2,FALSE),"")</x:f>
      </x:c>
      <x:c r="E386" s="42"/>
      <x:c r="F386" s="105"/>
      <x:c r="G386" s="106"/>
    </x:row>
    <x:row r="387" ht="22" customHeight="1">
      <x:c r="A387" s="92" t="str"/>
      <x:c r="B387" s="94" t="str">
        <x:f>IFERROR(INDEX(Employees!$A$2:$A$500,MATCH(A387,Employees!$B$2:$B$500,0)),"")</x:f>
      </x:c>
      <x:c r="C387" s="45"/>
      <x:c r="D387" s="43" t="str">
        <x:f>IFERROR(VLOOKUP(C387,Employees!$A$2:$B$500,2,FALSE),"")</x:f>
      </x:c>
      <x:c r="E387" s="42"/>
      <x:c r="F387" s="105"/>
      <x:c r="G387" s="106"/>
    </x:row>
    <x:row r="388" ht="22" customHeight="1">
      <x:c r="A388" s="92" t="str"/>
      <x:c r="B388" s="94" t="str">
        <x:f>IFERROR(INDEX(Employees!$A$2:$A$500,MATCH(A388,Employees!$B$2:$B$500,0)),"")</x:f>
      </x:c>
      <x:c r="C388" s="45"/>
      <x:c r="D388" s="43" t="str">
        <x:f>IFERROR(VLOOKUP(C388,Employees!$A$2:$B$500,2,FALSE),"")</x:f>
      </x:c>
      <x:c r="E388" s="42"/>
      <x:c r="F388" s="105"/>
      <x:c r="G388" s="106"/>
    </x:row>
    <x:row r="389" ht="22" customHeight="1">
      <x:c r="A389" s="92" t="str"/>
      <x:c r="B389" s="94" t="str">
        <x:f>IFERROR(INDEX(Employees!$A$2:$A$500,MATCH(A389,Employees!$B$2:$B$500,0)),"")</x:f>
      </x:c>
      <x:c r="C389" s="45"/>
      <x:c r="D389" s="43" t="str">
        <x:f>IFERROR(VLOOKUP(C389,Employees!$A$2:$B$500,2,FALSE),"")</x:f>
      </x:c>
      <x:c r="E389" s="42"/>
      <x:c r="F389" s="105"/>
      <x:c r="G389" s="106"/>
    </x:row>
    <x:row r="390" ht="22" customHeight="1">
      <x:c r="A390" s="92" t="str"/>
      <x:c r="B390" s="94" t="str">
        <x:f>IFERROR(INDEX(Employees!$A$2:$A$500,MATCH(A390,Employees!$B$2:$B$500,0)),"")</x:f>
      </x:c>
      <x:c r="C390" s="45"/>
      <x:c r="D390" s="43" t="str">
        <x:f>IFERROR(VLOOKUP(C390,Employees!$A$2:$B$500,2,FALSE),"")</x:f>
      </x:c>
      <x:c r="E390" s="42"/>
      <x:c r="F390" s="105"/>
      <x:c r="G390" s="106"/>
    </x:row>
    <x:row r="391" ht="22" customHeight="1">
      <x:c r="A391" s="92" t="str"/>
      <x:c r="B391" s="94" t="str">
        <x:f>IFERROR(INDEX(Employees!$A$2:$A$500,MATCH(A391,Employees!$B$2:$B$500,0)),"")</x:f>
      </x:c>
      <x:c r="C391" s="45"/>
      <x:c r="D391" s="43" t="str">
        <x:f>IFERROR(VLOOKUP(C391,Employees!$A$2:$B$500,2,FALSE),"")</x:f>
      </x:c>
      <x:c r="E391" s="42"/>
      <x:c r="F391" s="105"/>
      <x:c r="G391" s="106"/>
    </x:row>
    <x:row r="392" ht="22" customHeight="1">
      <x:c r="A392" s="92" t="str"/>
      <x:c r="B392" s="94" t="str">
        <x:f>IFERROR(INDEX(Employees!$A$2:$A$500,MATCH(A392,Employees!$B$2:$B$500,0)),"")</x:f>
      </x:c>
      <x:c r="C392" s="45"/>
      <x:c r="D392" s="43" t="str">
        <x:f>IFERROR(VLOOKUP(C392,Employees!$A$2:$B$500,2,FALSE),"")</x:f>
      </x:c>
      <x:c r="E392" s="42"/>
      <x:c r="F392" s="105"/>
      <x:c r="G392" s="106"/>
    </x:row>
    <x:row r="393" ht="22" customHeight="1">
      <x:c r="A393" s="92" t="str"/>
      <x:c r="B393" s="94" t="str">
        <x:f>IFERROR(INDEX(Employees!$A$2:$A$500,MATCH(A393,Employees!$B$2:$B$500,0)),"")</x:f>
      </x:c>
      <x:c r="C393" s="45"/>
      <x:c r="D393" s="43" t="str">
        <x:f>IFERROR(VLOOKUP(C393,Employees!$A$2:$B$500,2,FALSE),"")</x:f>
      </x:c>
      <x:c r="E393" s="42"/>
      <x:c r="F393" s="105"/>
      <x:c r="G393" s="106"/>
    </x:row>
    <x:row r="394" ht="22" customHeight="1">
      <x:c r="A394" s="92" t="str"/>
      <x:c r="B394" s="94" t="str">
        <x:f>IFERROR(INDEX(Employees!$A$2:$A$500,MATCH(A394,Employees!$B$2:$B$500,0)),"")</x:f>
      </x:c>
      <x:c r="C394" s="45"/>
      <x:c r="D394" s="43" t="str">
        <x:f>IFERROR(VLOOKUP(C394,Employees!$A$2:$B$500,2,FALSE),"")</x:f>
      </x:c>
      <x:c r="E394" s="42"/>
      <x:c r="F394" s="105"/>
      <x:c r="G394" s="106"/>
    </x:row>
    <x:row r="395" ht="22" customHeight="1">
      <x:c r="A395" s="92" t="str"/>
      <x:c r="B395" s="94" t="str">
        <x:f>IFERROR(INDEX(Employees!$A$2:$A$500,MATCH(A395,Employees!$B$2:$B$500,0)),"")</x:f>
      </x:c>
      <x:c r="C395" s="45"/>
      <x:c r="D395" s="43" t="str">
        <x:f>IFERROR(VLOOKUP(C395,Employees!$A$2:$B$500,2,FALSE),"")</x:f>
      </x:c>
      <x:c r="E395" s="42"/>
      <x:c r="F395" s="105"/>
      <x:c r="G395" s="106"/>
    </x:row>
    <x:row r="396" ht="22" customHeight="1">
      <x:c r="A396" s="92" t="str"/>
      <x:c r="B396" s="94" t="str">
        <x:f>IFERROR(INDEX(Employees!$A$2:$A$500,MATCH(A396,Employees!$B$2:$B$500,0)),"")</x:f>
      </x:c>
      <x:c r="C396" s="45"/>
      <x:c r="D396" s="43" t="str">
        <x:f>IFERROR(VLOOKUP(C396,Employees!$A$2:$B$500,2,FALSE),"")</x:f>
      </x:c>
      <x:c r="E396" s="42"/>
      <x:c r="F396" s="105"/>
      <x:c r="G396" s="106"/>
    </x:row>
    <x:row r="397" ht="22" customHeight="1">
      <x:c r="A397" s="92" t="str"/>
      <x:c r="B397" s="94" t="str">
        <x:f>IFERROR(INDEX(Employees!$A$2:$A$500,MATCH(A397,Employees!$B$2:$B$500,0)),"")</x:f>
      </x:c>
      <x:c r="C397" s="45"/>
      <x:c r="D397" s="43" t="str">
        <x:f>IFERROR(VLOOKUP(C397,Employees!$A$2:$B$500,2,FALSE),"")</x:f>
      </x:c>
      <x:c r="E397" s="42"/>
      <x:c r="F397" s="105"/>
      <x:c r="G397" s="106"/>
    </x:row>
    <x:row r="398" ht="22" customHeight="1">
      <x:c r="A398" s="92" t="str"/>
      <x:c r="B398" s="94" t="str">
        <x:f>IFERROR(INDEX(Employees!$A$2:$A$500,MATCH(A398,Employees!$B$2:$B$500,0)),"")</x:f>
      </x:c>
      <x:c r="C398" s="45"/>
      <x:c r="D398" s="43" t="str">
        <x:f>IFERROR(VLOOKUP(C398,Employees!$A$2:$B$500,2,FALSE),"")</x:f>
      </x:c>
      <x:c r="E398" s="42"/>
      <x:c r="F398" s="105"/>
      <x:c r="G398" s="106"/>
    </x:row>
    <x:row r="399" ht="22" customHeight="1">
      <x:c r="A399" s="92" t="str"/>
      <x:c r="B399" s="94" t="str">
        <x:f>IFERROR(INDEX(Employees!$A$2:$A$500,MATCH(A399,Employees!$B$2:$B$500,0)),"")</x:f>
      </x:c>
      <x:c r="C399" s="45"/>
      <x:c r="D399" s="43" t="str">
        <x:f>IFERROR(VLOOKUP(C399,Employees!$A$2:$B$500,2,FALSE),"")</x:f>
      </x:c>
      <x:c r="E399" s="42"/>
      <x:c r="F399" s="105"/>
      <x:c r="G399" s="106"/>
    </x:row>
    <x:row r="400" ht="22" customHeight="1">
      <x:c r="A400" s="92" t="str"/>
      <x:c r="B400" s="94" t="str">
        <x:f>IFERROR(INDEX(Employees!$A$2:$A$500,MATCH(A400,Employees!$B$2:$B$500,0)),"")</x:f>
      </x:c>
      <x:c r="C400" s="45"/>
      <x:c r="D400" s="43" t="str">
        <x:f>IFERROR(VLOOKUP(C400,Employees!$A$2:$B$500,2,FALSE),"")</x:f>
      </x:c>
      <x:c r="E400" s="42"/>
      <x:c r="F400" s="105"/>
      <x:c r="G400" s="106"/>
    </x:row>
    <x:row r="401" ht="22" customHeight="1">
      <x:c r="A401" s="92" t="str"/>
      <x:c r="B401" s="94" t="str">
        <x:f>IFERROR(INDEX(Employees!$A$2:$A$500,MATCH(A401,Employees!$B$2:$B$500,0)),"")</x:f>
      </x:c>
      <x:c r="C401" s="45"/>
      <x:c r="D401" s="43" t="str">
        <x:f>IFERROR(VLOOKUP(C401,Employees!$A$2:$B$500,2,FALSE),"")</x:f>
      </x:c>
      <x:c r="E401" s="42"/>
      <x:c r="F401" s="105"/>
      <x:c r="G401" s="106"/>
    </x:row>
    <x:row r="402" ht="22" customHeight="1">
      <x:c r="A402" s="92" t="str"/>
      <x:c r="B402" s="94" t="str">
        <x:f>IFERROR(INDEX(Employees!$A$2:$A$500,MATCH(A402,Employees!$B$2:$B$500,0)),"")</x:f>
      </x:c>
      <x:c r="C402" s="45"/>
      <x:c r="D402" s="43" t="str">
        <x:f>IFERROR(VLOOKUP(C402,Employees!$A$2:$B$500,2,FALSE),"")</x:f>
      </x:c>
      <x:c r="E402" s="42"/>
      <x:c r="F402" s="105"/>
      <x:c r="G402" s="106"/>
    </x:row>
    <x:row r="403" ht="22" customHeight="1">
      <x:c r="A403" s="92" t="str"/>
      <x:c r="B403" s="94" t="str">
        <x:f>IFERROR(INDEX(Employees!$A$2:$A$500,MATCH(A403,Employees!$B$2:$B$500,0)),"")</x:f>
      </x:c>
      <x:c r="C403" s="45"/>
      <x:c r="D403" s="43" t="str">
        <x:f>IFERROR(VLOOKUP(C403,Employees!$A$2:$B$500,2,FALSE),"")</x:f>
      </x:c>
      <x:c r="E403" s="42"/>
      <x:c r="F403" s="105"/>
      <x:c r="G403" s="106"/>
    </x:row>
    <x:row r="404" ht="22" customHeight="1">
      <x:c r="A404" s="92" t="str"/>
      <x:c r="B404" s="94" t="str">
        <x:f>IFERROR(INDEX(Employees!$A$2:$A$500,MATCH(A404,Employees!$B$2:$B$500,0)),"")</x:f>
      </x:c>
      <x:c r="C404" s="45"/>
      <x:c r="D404" s="43" t="str">
        <x:f>IFERROR(VLOOKUP(C404,Employees!$A$2:$B$500,2,FALSE),"")</x:f>
      </x:c>
      <x:c r="E404" s="42"/>
      <x:c r="F404" s="105"/>
      <x:c r="G404" s="106"/>
    </x:row>
    <x:row r="405" ht="22" customHeight="1">
      <x:c r="A405" s="92" t="str"/>
      <x:c r="B405" s="94" t="str">
        <x:f>IFERROR(INDEX(Employees!$A$2:$A$500,MATCH(A405,Employees!$B$2:$B$500,0)),"")</x:f>
      </x:c>
      <x:c r="C405" s="45"/>
      <x:c r="D405" s="43" t="str">
        <x:f>IFERROR(VLOOKUP(C405,Employees!$A$2:$B$500,2,FALSE),"")</x:f>
      </x:c>
      <x:c r="E405" s="42"/>
      <x:c r="F405" s="105"/>
      <x:c r="G405" s="106"/>
    </x:row>
    <x:row r="406" ht="22" customHeight="1">
      <x:c r="A406" s="92" t="str"/>
      <x:c r="B406" s="94" t="str">
        <x:f>IFERROR(INDEX(Employees!$A$2:$A$500,MATCH(A406,Employees!$B$2:$B$500,0)),"")</x:f>
      </x:c>
      <x:c r="C406" s="45"/>
      <x:c r="D406" s="43" t="str">
        <x:f>IFERROR(VLOOKUP(C406,Employees!$A$2:$B$500,2,FALSE),"")</x:f>
      </x:c>
      <x:c r="E406" s="42"/>
      <x:c r="F406" s="105"/>
      <x:c r="G406" s="106"/>
    </x:row>
    <x:row r="407" ht="22" customHeight="1">
      <x:c r="A407" s="92" t="str"/>
      <x:c r="B407" s="94" t="str">
        <x:f>IFERROR(INDEX(Employees!$A$2:$A$500,MATCH(A407,Employees!$B$2:$B$500,0)),"")</x:f>
      </x:c>
      <x:c r="C407" s="45"/>
      <x:c r="D407" s="43" t="str">
        <x:f>IFERROR(VLOOKUP(C407,Employees!$A$2:$B$500,2,FALSE),"")</x:f>
      </x:c>
      <x:c r="E407" s="42"/>
      <x:c r="F407" s="105"/>
      <x:c r="G407" s="106"/>
    </x:row>
    <x:row r="408" ht="22" customHeight="1">
      <x:c r="A408" s="92" t="str"/>
      <x:c r="B408" s="94" t="str">
        <x:f>IFERROR(INDEX(Employees!$A$2:$A$500,MATCH(A408,Employees!$B$2:$B$500,0)),"")</x:f>
      </x:c>
      <x:c r="C408" s="45"/>
      <x:c r="D408" s="43" t="str">
        <x:f>IFERROR(VLOOKUP(C408,Employees!$A$2:$B$500,2,FALSE),"")</x:f>
      </x:c>
      <x:c r="E408" s="42"/>
      <x:c r="F408" s="105"/>
      <x:c r="G408" s="106"/>
    </x:row>
    <x:row r="409" ht="22" customHeight="1">
      <x:c r="A409" s="92" t="str"/>
      <x:c r="B409" s="94" t="str">
        <x:f>IFERROR(INDEX(Employees!$A$2:$A$500,MATCH(A409,Employees!$B$2:$B$500,0)),"")</x:f>
      </x:c>
      <x:c r="C409" s="45"/>
      <x:c r="D409" s="43" t="str">
        <x:f>IFERROR(VLOOKUP(C409,Employees!$A$2:$B$500,2,FALSE),"")</x:f>
      </x:c>
      <x:c r="E409" s="42"/>
      <x:c r="F409" s="105"/>
      <x:c r="G409" s="106"/>
    </x:row>
    <x:row r="410" ht="22" customHeight="1">
      <x:c r="A410" s="92" t="str"/>
      <x:c r="B410" s="94" t="str">
        <x:f>IFERROR(INDEX(Employees!$A$2:$A$500,MATCH(A410,Employees!$B$2:$B$500,0)),"")</x:f>
      </x:c>
      <x:c r="C410" s="45"/>
      <x:c r="D410" s="43" t="str">
        <x:f>IFERROR(VLOOKUP(C410,Employees!$A$2:$B$500,2,FALSE),"")</x:f>
      </x:c>
      <x:c r="E410" s="42"/>
      <x:c r="F410" s="105"/>
      <x:c r="G410" s="106"/>
    </x:row>
    <x:row r="411" ht="22" customHeight="1">
      <x:c r="A411" s="92" t="str"/>
      <x:c r="B411" s="94" t="str">
        <x:f>IFERROR(INDEX(Employees!$A$2:$A$500,MATCH(A411,Employees!$B$2:$B$500,0)),"")</x:f>
      </x:c>
      <x:c r="C411" s="45"/>
      <x:c r="D411" s="43" t="str">
        <x:f>IFERROR(VLOOKUP(C411,Employees!$A$2:$B$500,2,FALSE),"")</x:f>
      </x:c>
      <x:c r="E411" s="42"/>
      <x:c r="F411" s="105"/>
      <x:c r="G411" s="106"/>
    </x:row>
    <x:row r="412" ht="22" customHeight="1">
      <x:c r="A412" s="92" t="str"/>
      <x:c r="B412" s="94" t="str">
        <x:f>IFERROR(INDEX(Employees!$A$2:$A$500,MATCH(A412,Employees!$B$2:$B$500,0)),"")</x:f>
      </x:c>
      <x:c r="C412" s="45"/>
      <x:c r="D412" s="43" t="str">
        <x:f>IFERROR(VLOOKUP(C412,Employees!$A$2:$B$500,2,FALSE),"")</x:f>
      </x:c>
      <x:c r="E412" s="42"/>
      <x:c r="F412" s="105"/>
      <x:c r="G412" s="106"/>
    </x:row>
    <x:row r="413" ht="22" customHeight="1">
      <x:c r="A413" s="92" t="str"/>
      <x:c r="B413" s="94" t="str">
        <x:f>IFERROR(INDEX(Employees!$A$2:$A$500,MATCH(A413,Employees!$B$2:$B$500,0)),"")</x:f>
      </x:c>
      <x:c r="C413" s="45"/>
      <x:c r="D413" s="43" t="str">
        <x:f>IFERROR(VLOOKUP(C413,Employees!$A$2:$B$500,2,FALSE),"")</x:f>
      </x:c>
      <x:c r="E413" s="42"/>
      <x:c r="F413" s="105"/>
      <x:c r="G413" s="106"/>
    </x:row>
    <x:row r="414" ht="22" customHeight="1">
      <x:c r="A414" s="92" t="str"/>
      <x:c r="B414" s="94" t="str">
        <x:f>IFERROR(INDEX(Employees!$A$2:$A$500,MATCH(A414,Employees!$B$2:$B$500,0)),"")</x:f>
      </x:c>
      <x:c r="C414" s="45"/>
      <x:c r="D414" s="43" t="str">
        <x:f>IFERROR(VLOOKUP(C414,Employees!$A$2:$B$500,2,FALSE),"")</x:f>
      </x:c>
      <x:c r="E414" s="42"/>
      <x:c r="F414" s="105"/>
      <x:c r="G414" s="106"/>
    </x:row>
    <x:row r="415" ht="22" customHeight="1">
      <x:c r="A415" s="92" t="str"/>
      <x:c r="B415" s="94" t="str">
        <x:f>IFERROR(INDEX(Employees!$A$2:$A$500,MATCH(A415,Employees!$B$2:$B$500,0)),"")</x:f>
      </x:c>
      <x:c r="C415" s="45"/>
      <x:c r="D415" s="43" t="str">
        <x:f>IFERROR(VLOOKUP(C415,Employees!$A$2:$B$500,2,FALSE),"")</x:f>
      </x:c>
      <x:c r="E415" s="42"/>
      <x:c r="F415" s="105"/>
      <x:c r="G415" s="106"/>
    </x:row>
    <x:row r="416" ht="22" customHeight="1">
      <x:c r="A416" s="92" t="str"/>
      <x:c r="B416" s="94" t="str">
        <x:f>IFERROR(INDEX(Employees!$A$2:$A$500,MATCH(A416,Employees!$B$2:$B$500,0)),"")</x:f>
      </x:c>
      <x:c r="C416" s="45"/>
      <x:c r="D416" s="43" t="str">
        <x:f>IFERROR(VLOOKUP(C416,Employees!$A$2:$B$500,2,FALSE),"")</x:f>
      </x:c>
      <x:c r="E416" s="42"/>
      <x:c r="F416" s="105"/>
      <x:c r="G416" s="106"/>
    </x:row>
    <x:row r="417" ht="22" customHeight="1">
      <x:c r="A417" s="92" t="str"/>
      <x:c r="B417" s="94" t="str">
        <x:f>IFERROR(INDEX(Employees!$A$2:$A$500,MATCH(A417,Employees!$B$2:$B$500,0)),"")</x:f>
      </x:c>
      <x:c r="C417" s="45"/>
      <x:c r="D417" s="43" t="str">
        <x:f>IFERROR(VLOOKUP(C417,Employees!$A$2:$B$500,2,FALSE),"")</x:f>
      </x:c>
      <x:c r="E417" s="42"/>
      <x:c r="F417" s="105"/>
      <x:c r="G417" s="106"/>
    </x:row>
    <x:row r="418" ht="22" customHeight="1">
      <x:c r="A418" s="92" t="str"/>
      <x:c r="B418" s="94" t="str">
        <x:f>IFERROR(INDEX(Employees!$A$2:$A$500,MATCH(A418,Employees!$B$2:$B$500,0)),"")</x:f>
      </x:c>
      <x:c r="C418" s="45"/>
      <x:c r="D418" s="43" t="str">
        <x:f>IFERROR(VLOOKUP(C418,Employees!$A$2:$B$500,2,FALSE),"")</x:f>
      </x:c>
      <x:c r="E418" s="42"/>
      <x:c r="F418" s="105"/>
      <x:c r="G418" s="106"/>
    </x:row>
    <x:row r="419" ht="22" customHeight="1">
      <x:c r="A419" s="92" t="str"/>
      <x:c r="B419" s="94" t="str">
        <x:f>IFERROR(INDEX(Employees!$A$2:$A$500,MATCH(A419,Employees!$B$2:$B$500,0)),"")</x:f>
      </x:c>
      <x:c r="C419" s="45"/>
      <x:c r="D419" s="43" t="str">
        <x:f>IFERROR(VLOOKUP(C419,Employees!$A$2:$B$500,2,FALSE),"")</x:f>
      </x:c>
      <x:c r="E419" s="42"/>
      <x:c r="F419" s="105"/>
      <x:c r="G419" s="106"/>
    </x:row>
    <x:row r="420" ht="22" customHeight="1">
      <x:c r="A420" s="92" t="str"/>
      <x:c r="B420" s="94" t="str">
        <x:f>IFERROR(INDEX(Employees!$A$2:$A$500,MATCH(A420,Employees!$B$2:$B$500,0)),"")</x:f>
      </x:c>
      <x:c r="C420" s="45"/>
      <x:c r="D420" s="43" t="str">
        <x:f>IFERROR(VLOOKUP(C420,Employees!$A$2:$B$500,2,FALSE),"")</x:f>
      </x:c>
      <x:c r="E420" s="42"/>
      <x:c r="F420" s="105"/>
      <x:c r="G420" s="106"/>
    </x:row>
    <x:row r="421" ht="22" customHeight="1">
      <x:c r="A421" s="92" t="str"/>
      <x:c r="B421" s="94" t="str">
        <x:f>IFERROR(INDEX(Employees!$A$2:$A$500,MATCH(A421,Employees!$B$2:$B$500,0)),"")</x:f>
      </x:c>
      <x:c r="C421" s="45"/>
      <x:c r="D421" s="43" t="str">
        <x:f>IFERROR(VLOOKUP(C421,Employees!$A$2:$B$500,2,FALSE),"")</x:f>
      </x:c>
      <x:c r="E421" s="42"/>
      <x:c r="F421" s="105"/>
      <x:c r="G421" s="106"/>
    </x:row>
    <x:row r="422" ht="22" customHeight="1">
      <x:c r="A422" s="92" t="str"/>
      <x:c r="B422" s="94" t="str">
        <x:f>IFERROR(INDEX(Employees!$A$2:$A$500,MATCH(A422,Employees!$B$2:$B$500,0)),"")</x:f>
      </x:c>
      <x:c r="C422" s="45"/>
      <x:c r="D422" s="43" t="str">
        <x:f>IFERROR(VLOOKUP(C422,Employees!$A$2:$B$500,2,FALSE),"")</x:f>
      </x:c>
      <x:c r="E422" s="42"/>
      <x:c r="F422" s="105"/>
      <x:c r="G422" s="106"/>
    </x:row>
    <x:row r="423" ht="22" customHeight="1">
      <x:c r="A423" s="92" t="str"/>
      <x:c r="B423" s="94" t="str">
        <x:f>IFERROR(INDEX(Employees!$A$2:$A$500,MATCH(A423,Employees!$B$2:$B$500,0)),"")</x:f>
      </x:c>
      <x:c r="C423" s="45"/>
      <x:c r="D423" s="43" t="str">
        <x:f>IFERROR(VLOOKUP(C423,Employees!$A$2:$B$500,2,FALSE),"")</x:f>
      </x:c>
      <x:c r="E423" s="42"/>
      <x:c r="F423" s="105"/>
      <x:c r="G423" s="106"/>
    </x:row>
    <x:row r="424" ht="22" customHeight="1">
      <x:c r="A424" s="92" t="str"/>
      <x:c r="B424" s="94" t="str">
        <x:f>IFERROR(INDEX(Employees!$A$2:$A$500,MATCH(A424,Employees!$B$2:$B$500,0)),"")</x:f>
      </x:c>
      <x:c r="C424" s="45"/>
      <x:c r="D424" s="43" t="str">
        <x:f>IFERROR(VLOOKUP(C424,Employees!$A$2:$B$500,2,FALSE),"")</x:f>
      </x:c>
      <x:c r="E424" s="42"/>
      <x:c r="F424" s="105"/>
      <x:c r="G424" s="106"/>
    </x:row>
    <x:row r="425" ht="22" customHeight="1">
      <x:c r="A425" s="92" t="str"/>
      <x:c r="B425" s="94" t="str">
        <x:f>IFERROR(INDEX(Employees!$A$2:$A$500,MATCH(A425,Employees!$B$2:$B$500,0)),"")</x:f>
      </x:c>
      <x:c r="C425" s="45"/>
      <x:c r="D425" s="43" t="str">
        <x:f>IFERROR(VLOOKUP(C425,Employees!$A$2:$B$500,2,FALSE),"")</x:f>
      </x:c>
      <x:c r="E425" s="42"/>
      <x:c r="F425" s="105"/>
      <x:c r="G425" s="106"/>
    </x:row>
    <x:row r="426" ht="22" customHeight="1">
      <x:c r="A426" s="92" t="str"/>
      <x:c r="B426" s="94" t="str">
        <x:f>IFERROR(INDEX(Employees!$A$2:$A$500,MATCH(A426,Employees!$B$2:$B$500,0)),"")</x:f>
      </x:c>
      <x:c r="C426" s="45"/>
      <x:c r="D426" s="43" t="str">
        <x:f>IFERROR(VLOOKUP(C426,Employees!$A$2:$B$500,2,FALSE),"")</x:f>
      </x:c>
      <x:c r="E426" s="42"/>
      <x:c r="F426" s="105"/>
      <x:c r="G426" s="106"/>
    </x:row>
    <x:row r="427" ht="22" customHeight="1">
      <x:c r="A427" s="92" t="str"/>
      <x:c r="B427" s="94" t="str">
        <x:f>IFERROR(INDEX(Employees!$A$2:$A$500,MATCH(A427,Employees!$B$2:$B$500,0)),"")</x:f>
      </x:c>
      <x:c r="C427" s="45"/>
      <x:c r="D427" s="43" t="str">
        <x:f>IFERROR(VLOOKUP(C427,Employees!$A$2:$B$500,2,FALSE),"")</x:f>
      </x:c>
      <x:c r="E427" s="42"/>
      <x:c r="F427" s="105"/>
      <x:c r="G427" s="106"/>
    </x:row>
    <x:row r="428" ht="22" customHeight="1">
      <x:c r="A428" s="92" t="str"/>
      <x:c r="B428" s="94" t="str">
        <x:f>IFERROR(INDEX(Employees!$A$2:$A$500,MATCH(A428,Employees!$B$2:$B$500,0)),"")</x:f>
      </x:c>
      <x:c r="C428" s="45"/>
      <x:c r="D428" s="43" t="str">
        <x:f>IFERROR(VLOOKUP(C428,Employees!$A$2:$B$500,2,FALSE),"")</x:f>
      </x:c>
      <x:c r="E428" s="42"/>
      <x:c r="F428" s="105"/>
      <x:c r="G428" s="106"/>
    </x:row>
    <x:row r="429" ht="22" customHeight="1">
      <x:c r="A429" s="92" t="str"/>
      <x:c r="B429" s="94" t="str">
        <x:f>IFERROR(INDEX(Employees!$A$2:$A$500,MATCH(A429,Employees!$B$2:$B$500,0)),"")</x:f>
      </x:c>
      <x:c r="C429" s="45"/>
      <x:c r="D429" s="43" t="str">
        <x:f>IFERROR(VLOOKUP(C429,Employees!$A$2:$B$500,2,FALSE),"")</x:f>
      </x:c>
      <x:c r="E429" s="42"/>
      <x:c r="F429" s="105"/>
      <x:c r="G429" s="106"/>
    </x:row>
    <x:row r="430" ht="22" customHeight="1">
      <x:c r="A430" s="92" t="str"/>
      <x:c r="B430" s="94" t="str">
        <x:f>IFERROR(INDEX(Employees!$A$2:$A$500,MATCH(A430,Employees!$B$2:$B$500,0)),"")</x:f>
      </x:c>
      <x:c r="C430" s="45"/>
      <x:c r="D430" s="43" t="str">
        <x:f>IFERROR(VLOOKUP(C430,Employees!$A$2:$B$500,2,FALSE),"")</x:f>
      </x:c>
      <x:c r="E430" s="42"/>
      <x:c r="F430" s="105"/>
      <x:c r="G430" s="106"/>
    </x:row>
    <x:row r="431" ht="22" customHeight="1">
      <x:c r="A431" s="92" t="str"/>
      <x:c r="B431" s="94" t="str">
        <x:f>IFERROR(INDEX(Employees!$A$2:$A$500,MATCH(A431,Employees!$B$2:$B$500,0)),"")</x:f>
      </x:c>
      <x:c r="C431" s="45"/>
      <x:c r="D431" s="43" t="str">
        <x:f>IFERROR(VLOOKUP(C431,Employees!$A$2:$B$500,2,FALSE),"")</x:f>
      </x:c>
      <x:c r="E431" s="42"/>
      <x:c r="F431" s="105"/>
      <x:c r="G431" s="106"/>
    </x:row>
    <x:row r="432" ht="22" customHeight="1">
      <x:c r="A432" s="92" t="str"/>
      <x:c r="B432" s="94" t="str">
        <x:f>IFERROR(INDEX(Employees!$A$2:$A$500,MATCH(A432,Employees!$B$2:$B$500,0)),"")</x:f>
      </x:c>
      <x:c r="C432" s="45"/>
      <x:c r="D432" s="43" t="str">
        <x:f>IFERROR(VLOOKUP(C432,Employees!$A$2:$B$500,2,FALSE),"")</x:f>
      </x:c>
      <x:c r="E432" s="42"/>
      <x:c r="F432" s="105"/>
      <x:c r="G432" s="106"/>
    </x:row>
    <x:row r="433" ht="22" customHeight="1">
      <x:c r="A433" s="92" t="str"/>
      <x:c r="B433" s="94" t="str">
        <x:f>IFERROR(INDEX(Employees!$A$2:$A$500,MATCH(A433,Employees!$B$2:$B$500,0)),"")</x:f>
      </x:c>
      <x:c r="C433" s="45"/>
      <x:c r="D433" s="43" t="str">
        <x:f>IFERROR(VLOOKUP(C433,Employees!$A$2:$B$500,2,FALSE),"")</x:f>
      </x:c>
      <x:c r="E433" s="42"/>
      <x:c r="F433" s="105"/>
      <x:c r="G433" s="106"/>
    </x:row>
    <x:row r="434" ht="22" customHeight="1">
      <x:c r="A434" s="92" t="str"/>
      <x:c r="B434" s="94" t="str">
        <x:f>IFERROR(INDEX(Employees!$A$2:$A$500,MATCH(A434,Employees!$B$2:$B$500,0)),"")</x:f>
      </x:c>
      <x:c r="C434" s="45"/>
      <x:c r="D434" s="43" t="str">
        <x:f>IFERROR(VLOOKUP(C434,Employees!$A$2:$B$500,2,FALSE),"")</x:f>
      </x:c>
      <x:c r="E434" s="42"/>
      <x:c r="F434" s="105"/>
      <x:c r="G434" s="106"/>
    </x:row>
    <x:row r="435" ht="22" customHeight="1">
      <x:c r="A435" s="92" t="str"/>
      <x:c r="B435" s="94" t="str">
        <x:f>IFERROR(INDEX(Employees!$A$2:$A$500,MATCH(A435,Employees!$B$2:$B$500,0)),"")</x:f>
      </x:c>
      <x:c r="C435" s="45"/>
      <x:c r="D435" s="43" t="str">
        <x:f>IFERROR(VLOOKUP(C435,Employees!$A$2:$B$500,2,FALSE),"")</x:f>
      </x:c>
      <x:c r="E435" s="42"/>
      <x:c r="F435" s="105"/>
      <x:c r="G435" s="106"/>
    </x:row>
    <x:row r="436" ht="22" customHeight="1">
      <x:c r="A436" s="92" t="str"/>
      <x:c r="B436" s="94" t="str">
        <x:f>IFERROR(INDEX(Employees!$A$2:$A$500,MATCH(A436,Employees!$B$2:$B$500,0)),"")</x:f>
      </x:c>
      <x:c r="C436" s="45"/>
      <x:c r="D436" s="43" t="str">
        <x:f>IFERROR(VLOOKUP(C436,Employees!$A$2:$B$500,2,FALSE),"")</x:f>
      </x:c>
      <x:c r="E436" s="42"/>
      <x:c r="F436" s="105"/>
      <x:c r="G436" s="106"/>
    </x:row>
    <x:row r="437" ht="22" customHeight="1">
      <x:c r="A437" s="92" t="str"/>
      <x:c r="B437" s="94" t="str">
        <x:f>IFERROR(INDEX(Employees!$A$2:$A$500,MATCH(A437,Employees!$B$2:$B$500,0)),"")</x:f>
      </x:c>
      <x:c r="C437" s="45"/>
      <x:c r="D437" s="43" t="str">
        <x:f>IFERROR(VLOOKUP(C437,Employees!$A$2:$B$500,2,FALSE),"")</x:f>
      </x:c>
      <x:c r="E437" s="42"/>
      <x:c r="F437" s="105"/>
      <x:c r="G437" s="106"/>
    </x:row>
    <x:row r="438" ht="22" customHeight="1">
      <x:c r="A438" s="92" t="str"/>
      <x:c r="B438" s="94" t="str">
        <x:f>IFERROR(INDEX(Employees!$A$2:$A$500,MATCH(A438,Employees!$B$2:$B$500,0)),"")</x:f>
      </x:c>
      <x:c r="C438" s="45"/>
      <x:c r="D438" s="43" t="str">
        <x:f>IFERROR(VLOOKUP(C438,Employees!$A$2:$B$500,2,FALSE),"")</x:f>
      </x:c>
      <x:c r="E438" s="42"/>
      <x:c r="F438" s="105"/>
      <x:c r="G438" s="106"/>
    </x:row>
    <x:row r="439" ht="22" customHeight="1">
      <x:c r="A439" s="92" t="str"/>
      <x:c r="B439" s="94" t="str">
        <x:f>IFERROR(INDEX(Employees!$A$2:$A$500,MATCH(A439,Employees!$B$2:$B$500,0)),"")</x:f>
      </x:c>
      <x:c r="C439" s="45"/>
      <x:c r="D439" s="43" t="str">
        <x:f>IFERROR(VLOOKUP(C439,Employees!$A$2:$B$500,2,FALSE),"")</x:f>
      </x:c>
      <x:c r="E439" s="42"/>
      <x:c r="F439" s="105"/>
      <x:c r="G439" s="106"/>
    </x:row>
    <x:row r="440" ht="22" customHeight="1">
      <x:c r="A440" s="92" t="str"/>
      <x:c r="B440" s="94" t="str">
        <x:f>IFERROR(INDEX(Employees!$A$2:$A$500,MATCH(A440,Employees!$B$2:$B$500,0)),"")</x:f>
      </x:c>
      <x:c r="C440" s="45"/>
      <x:c r="D440" s="43" t="str">
        <x:f>IFERROR(VLOOKUP(C440,Employees!$A$2:$B$500,2,FALSE),"")</x:f>
      </x:c>
      <x:c r="E440" s="42"/>
      <x:c r="F440" s="105"/>
      <x:c r="G440" s="106"/>
    </x:row>
    <x:row r="441" ht="22" customHeight="1">
      <x:c r="A441" s="92" t="str"/>
      <x:c r="B441" s="94" t="str">
        <x:f>IFERROR(INDEX(Employees!$A$2:$A$500,MATCH(A441,Employees!$B$2:$B$500,0)),"")</x:f>
      </x:c>
      <x:c r="C441" s="45"/>
      <x:c r="D441" s="43" t="str">
        <x:f>IFERROR(VLOOKUP(C441,Employees!$A$2:$B$500,2,FALSE),"")</x:f>
      </x:c>
      <x:c r="E441" s="42"/>
      <x:c r="F441" s="105"/>
      <x:c r="G441" s="106"/>
    </x:row>
    <x:row r="442" ht="22" customHeight="1">
      <x:c r="A442" s="92" t="str"/>
      <x:c r="B442" s="94" t="str">
        <x:f>IFERROR(INDEX(Employees!$A$2:$A$500,MATCH(A442,Employees!$B$2:$B$500,0)),"")</x:f>
      </x:c>
      <x:c r="C442" s="45"/>
      <x:c r="D442" s="43" t="str">
        <x:f>IFERROR(VLOOKUP(C442,Employees!$A$2:$B$500,2,FALSE),"")</x:f>
      </x:c>
      <x:c r="E442" s="42"/>
      <x:c r="F442" s="105"/>
      <x:c r="G442" s="106"/>
    </x:row>
    <x:row r="443" ht="22" customHeight="1">
      <x:c r="A443" s="92" t="str"/>
      <x:c r="B443" s="94" t="str">
        <x:f>IFERROR(INDEX(Employees!$A$2:$A$500,MATCH(A443,Employees!$B$2:$B$500,0)),"")</x:f>
      </x:c>
      <x:c r="C443" s="45"/>
      <x:c r="D443" s="43" t="str">
        <x:f>IFERROR(VLOOKUP(C443,Employees!$A$2:$B$500,2,FALSE),"")</x:f>
      </x:c>
      <x:c r="E443" s="42"/>
      <x:c r="F443" s="105"/>
      <x:c r="G443" s="106"/>
    </x:row>
    <x:row r="444" ht="22" customHeight="1">
      <x:c r="A444" s="92" t="str"/>
      <x:c r="B444" s="94" t="str">
        <x:f>IFERROR(INDEX(Employees!$A$2:$A$500,MATCH(A444,Employees!$B$2:$B$500,0)),"")</x:f>
      </x:c>
      <x:c r="C444" s="45"/>
      <x:c r="D444" s="43" t="str">
        <x:f>IFERROR(VLOOKUP(C444,Employees!$A$2:$B$500,2,FALSE),"")</x:f>
      </x:c>
      <x:c r="E444" s="42"/>
      <x:c r="F444" s="105"/>
      <x:c r="G444" s="106"/>
    </x:row>
    <x:row r="445" ht="22" customHeight="1">
      <x:c r="A445" s="92" t="str"/>
      <x:c r="B445" s="94" t="str">
        <x:f>IFERROR(INDEX(Employees!$A$2:$A$500,MATCH(A445,Employees!$B$2:$B$500,0)),"")</x:f>
      </x:c>
      <x:c r="C445" s="45"/>
      <x:c r="D445" s="43" t="str">
        <x:f>IFERROR(VLOOKUP(C445,Employees!$A$2:$B$500,2,FALSE),"")</x:f>
      </x:c>
      <x:c r="E445" s="42"/>
      <x:c r="F445" s="105"/>
      <x:c r="G445" s="106"/>
    </x:row>
    <x:row r="446" ht="22" customHeight="1">
      <x:c r="A446" s="92" t="str"/>
      <x:c r="B446" s="94" t="str">
        <x:f>IFERROR(INDEX(Employees!$A$2:$A$500,MATCH(A446,Employees!$B$2:$B$500,0)),"")</x:f>
      </x:c>
      <x:c r="C446" s="45"/>
      <x:c r="D446" s="43" t="str">
        <x:f>IFERROR(VLOOKUP(C446,Employees!$A$2:$B$500,2,FALSE),"")</x:f>
      </x:c>
      <x:c r="E446" s="42"/>
      <x:c r="F446" s="105"/>
      <x:c r="G446" s="106"/>
    </x:row>
    <x:row r="447" ht="22" customHeight="1">
      <x:c r="A447" s="92" t="str"/>
      <x:c r="B447" s="94" t="str">
        <x:f>IFERROR(INDEX(Employees!$A$2:$A$500,MATCH(A447,Employees!$B$2:$B$500,0)),"")</x:f>
      </x:c>
      <x:c r="C447" s="45"/>
      <x:c r="D447" s="43" t="str">
        <x:f>IFERROR(VLOOKUP(C447,Employees!$A$2:$B$500,2,FALSE),"")</x:f>
      </x:c>
      <x:c r="E447" s="42"/>
      <x:c r="F447" s="105"/>
      <x:c r="G447" s="106"/>
    </x:row>
    <x:row r="448" ht="22" customHeight="1">
      <x:c r="A448" s="92" t="str"/>
      <x:c r="B448" s="94" t="str">
        <x:f>IFERROR(INDEX(Employees!$A$2:$A$500,MATCH(A448,Employees!$B$2:$B$500,0)),"")</x:f>
      </x:c>
      <x:c r="C448" s="45"/>
      <x:c r="D448" s="43" t="str">
        <x:f>IFERROR(VLOOKUP(C448,Employees!$A$2:$B$500,2,FALSE),"")</x:f>
      </x:c>
      <x:c r="E448" s="42"/>
      <x:c r="F448" s="105"/>
      <x:c r="G448" s="106"/>
    </x:row>
    <x:row r="449" ht="22" customHeight="1">
      <x:c r="A449" s="92" t="str"/>
      <x:c r="B449" s="94" t="str">
        <x:f>IFERROR(INDEX(Employees!$A$2:$A$500,MATCH(A449,Employees!$B$2:$B$500,0)),"")</x:f>
      </x:c>
      <x:c r="C449" s="45"/>
      <x:c r="D449" s="43" t="str">
        <x:f>IFERROR(VLOOKUP(C449,Employees!$A$2:$B$500,2,FALSE),"")</x:f>
      </x:c>
      <x:c r="E449" s="42"/>
      <x:c r="F449" s="105"/>
      <x:c r="G449" s="106"/>
    </x:row>
    <x:row r="450" ht="22" customHeight="1">
      <x:c r="A450" s="92" t="str"/>
      <x:c r="B450" s="94" t="str">
        <x:f>IFERROR(INDEX(Employees!$A$2:$A$500,MATCH(A450,Employees!$B$2:$B$500,0)),"")</x:f>
      </x:c>
      <x:c r="C450" s="45"/>
      <x:c r="D450" s="43" t="str">
        <x:f>IFERROR(VLOOKUP(C450,Employees!$A$2:$B$500,2,FALSE),"")</x:f>
      </x:c>
      <x:c r="E450" s="42"/>
      <x:c r="F450" s="105"/>
      <x:c r="G450" s="106"/>
    </x:row>
    <x:row r="451" ht="22" customHeight="1">
      <x:c r="A451" s="92" t="str"/>
      <x:c r="B451" s="94" t="str">
        <x:f>IFERROR(INDEX(Employees!$A$2:$A$500,MATCH(A451,Employees!$B$2:$B$500,0)),"")</x:f>
      </x:c>
      <x:c r="C451" s="45"/>
      <x:c r="D451" s="43" t="str">
        <x:f>IFERROR(VLOOKUP(C451,Employees!$A$2:$B$500,2,FALSE),"")</x:f>
      </x:c>
      <x:c r="E451" s="42"/>
      <x:c r="F451" s="105"/>
      <x:c r="G451" s="106"/>
    </x:row>
    <x:row r="452" ht="22" customHeight="1">
      <x:c r="A452" s="92" t="str"/>
      <x:c r="B452" s="94" t="str">
        <x:f>IFERROR(INDEX(Employees!$A$2:$A$500,MATCH(A452,Employees!$B$2:$B$500,0)),"")</x:f>
      </x:c>
      <x:c r="C452" s="45"/>
      <x:c r="D452" s="43" t="str">
        <x:f>IFERROR(VLOOKUP(C452,Employees!$A$2:$B$500,2,FALSE),"")</x:f>
      </x:c>
      <x:c r="E452" s="42"/>
      <x:c r="F452" s="105"/>
      <x:c r="G452" s="106"/>
    </x:row>
    <x:row r="453" ht="22" customHeight="1">
      <x:c r="A453" s="92" t="str"/>
      <x:c r="B453" s="94" t="str">
        <x:f>IFERROR(INDEX(Employees!$A$2:$A$500,MATCH(A453,Employees!$B$2:$B$500,0)),"")</x:f>
      </x:c>
      <x:c r="C453" s="45"/>
      <x:c r="D453" s="43" t="str">
        <x:f>IFERROR(VLOOKUP(C453,Employees!$A$2:$B$500,2,FALSE),"")</x:f>
      </x:c>
      <x:c r="E453" s="42"/>
      <x:c r="F453" s="105"/>
      <x:c r="G453" s="106"/>
    </x:row>
    <x:row r="454" ht="22" customHeight="1">
      <x:c r="A454" s="92" t="str"/>
      <x:c r="B454" s="94" t="str">
        <x:f>IFERROR(INDEX(Employees!$A$2:$A$500,MATCH(A454,Employees!$B$2:$B$500,0)),"")</x:f>
      </x:c>
      <x:c r="C454" s="45"/>
      <x:c r="D454" s="43" t="str">
        <x:f>IFERROR(VLOOKUP(C454,Employees!$A$2:$B$500,2,FALSE),"")</x:f>
      </x:c>
      <x:c r="E454" s="42"/>
      <x:c r="F454" s="105"/>
      <x:c r="G454" s="106"/>
    </x:row>
    <x:row r="455" ht="22" customHeight="1">
      <x:c r="A455" s="92" t="str"/>
      <x:c r="B455" s="94" t="str">
        <x:f>IFERROR(INDEX(Employees!$A$2:$A$500,MATCH(A455,Employees!$B$2:$B$500,0)),"")</x:f>
      </x:c>
      <x:c r="C455" s="45"/>
      <x:c r="D455" s="43" t="str">
        <x:f>IFERROR(VLOOKUP(C455,Employees!$A$2:$B$500,2,FALSE),"")</x:f>
      </x:c>
      <x:c r="E455" s="42"/>
      <x:c r="F455" s="105"/>
      <x:c r="G455" s="106"/>
    </x:row>
    <x:row r="456" ht="22" customHeight="1">
      <x:c r="A456" s="92" t="str"/>
      <x:c r="B456" s="94" t="str">
        <x:f>IFERROR(INDEX(Employees!$A$2:$A$500,MATCH(A456,Employees!$B$2:$B$500,0)),"")</x:f>
      </x:c>
      <x:c r="C456" s="45"/>
      <x:c r="D456" s="43" t="str">
        <x:f>IFERROR(VLOOKUP(C456,Employees!$A$2:$B$500,2,FALSE),"")</x:f>
      </x:c>
      <x:c r="E456" s="42"/>
      <x:c r="F456" s="105"/>
      <x:c r="G456" s="106"/>
    </x:row>
    <x:row r="457" ht="22" customHeight="1">
      <x:c r="A457" s="92" t="str"/>
      <x:c r="B457" s="94" t="str">
        <x:f>IFERROR(INDEX(Employees!$A$2:$A$500,MATCH(A457,Employees!$B$2:$B$500,0)),"")</x:f>
      </x:c>
      <x:c r="C457" s="45"/>
      <x:c r="D457" s="43" t="str">
        <x:f>IFERROR(VLOOKUP(C457,Employees!$A$2:$B$500,2,FALSE),"")</x:f>
      </x:c>
      <x:c r="E457" s="42"/>
      <x:c r="F457" s="105"/>
      <x:c r="G457" s="106"/>
    </x:row>
    <x:row r="458" ht="22" customHeight="1">
      <x:c r="A458" s="92" t="str"/>
      <x:c r="B458" s="94" t="str">
        <x:f>IFERROR(INDEX(Employees!$A$2:$A$500,MATCH(A458,Employees!$B$2:$B$500,0)),"")</x:f>
      </x:c>
      <x:c r="C458" s="45"/>
      <x:c r="D458" s="43" t="str">
        <x:f>IFERROR(VLOOKUP(C458,Employees!$A$2:$B$500,2,FALSE),"")</x:f>
      </x:c>
      <x:c r="E458" s="42"/>
      <x:c r="F458" s="105"/>
      <x:c r="G458" s="106"/>
    </x:row>
    <x:row r="459" ht="22" customHeight="1">
      <x:c r="A459" s="92" t="str"/>
      <x:c r="B459" s="94" t="str">
        <x:f>IFERROR(INDEX(Employees!$A$2:$A$500,MATCH(A459,Employees!$B$2:$B$500,0)),"")</x:f>
      </x:c>
      <x:c r="C459" s="45"/>
      <x:c r="D459" s="43" t="str">
        <x:f>IFERROR(VLOOKUP(C459,Employees!$A$2:$B$500,2,FALSE),"")</x:f>
      </x:c>
      <x:c r="E459" s="42"/>
      <x:c r="F459" s="105"/>
      <x:c r="G459" s="106"/>
    </x:row>
    <x:row r="460" ht="22" customHeight="1">
      <x:c r="A460" s="92" t="str"/>
      <x:c r="B460" s="94" t="str">
        <x:f>IFERROR(INDEX(Employees!$A$2:$A$500,MATCH(A460,Employees!$B$2:$B$500,0)),"")</x:f>
      </x:c>
      <x:c r="C460" s="45"/>
      <x:c r="D460" s="43" t="str">
        <x:f>IFERROR(VLOOKUP(C460,Employees!$A$2:$B$500,2,FALSE),"")</x:f>
      </x:c>
      <x:c r="E460" s="42"/>
      <x:c r="F460" s="105"/>
      <x:c r="G460" s="106"/>
    </x:row>
    <x:row r="461" ht="22" customHeight="1">
      <x:c r="A461" s="92" t="str"/>
      <x:c r="B461" s="94" t="str">
        <x:f>IFERROR(INDEX(Employees!$A$2:$A$500,MATCH(A461,Employees!$B$2:$B$500,0)),"")</x:f>
      </x:c>
      <x:c r="C461" s="45"/>
      <x:c r="D461" s="43" t="str">
        <x:f>IFERROR(VLOOKUP(C461,Employees!$A$2:$B$500,2,FALSE),"")</x:f>
      </x:c>
      <x:c r="E461" s="42"/>
      <x:c r="F461" s="105"/>
      <x:c r="G461" s="106"/>
    </x:row>
    <x:row r="462" ht="22" customHeight="1">
      <x:c r="A462" s="92" t="str"/>
      <x:c r="B462" s="94" t="str">
        <x:f>IFERROR(INDEX(Employees!$A$2:$A$500,MATCH(A462,Employees!$B$2:$B$500,0)),"")</x:f>
      </x:c>
      <x:c r="C462" s="45"/>
      <x:c r="D462" s="43" t="str">
        <x:f>IFERROR(VLOOKUP(C462,Employees!$A$2:$B$500,2,FALSE),"")</x:f>
      </x:c>
      <x:c r="E462" s="42"/>
      <x:c r="F462" s="105"/>
      <x:c r="G462" s="106"/>
    </x:row>
    <x:row r="463" ht="22" customHeight="1">
      <x:c r="A463" s="92" t="str"/>
      <x:c r="B463" s="94" t="str">
        <x:f>IFERROR(INDEX(Employees!$A$2:$A$500,MATCH(A463,Employees!$B$2:$B$500,0)),"")</x:f>
      </x:c>
      <x:c r="C463" s="45"/>
      <x:c r="D463" s="43" t="str">
        <x:f>IFERROR(VLOOKUP(C463,Employees!$A$2:$B$500,2,FALSE),"")</x:f>
      </x:c>
      <x:c r="E463" s="42"/>
      <x:c r="F463" s="105"/>
      <x:c r="G463" s="106"/>
    </x:row>
    <x:row r="464" ht="22" customHeight="1">
      <x:c r="A464" s="92" t="str"/>
      <x:c r="B464" s="94" t="str">
        <x:f>IFERROR(INDEX(Employees!$A$2:$A$500,MATCH(A464,Employees!$B$2:$B$500,0)),"")</x:f>
      </x:c>
      <x:c r="C464" s="45"/>
      <x:c r="D464" s="43" t="str">
        <x:f>IFERROR(VLOOKUP(C464,Employees!$A$2:$B$500,2,FALSE),"")</x:f>
      </x:c>
      <x:c r="E464" s="42"/>
      <x:c r="F464" s="105"/>
      <x:c r="G464" s="106"/>
    </x:row>
    <x:row r="465" ht="22" customHeight="1">
      <x:c r="A465" s="92" t="str"/>
      <x:c r="B465" s="94" t="str">
        <x:f>IFERROR(INDEX(Employees!$A$2:$A$500,MATCH(A465,Employees!$B$2:$B$500,0)),"")</x:f>
      </x:c>
      <x:c r="C465" s="45"/>
      <x:c r="D465" s="43" t="str">
        <x:f>IFERROR(VLOOKUP(C465,Employees!$A$2:$B$500,2,FALSE),"")</x:f>
      </x:c>
      <x:c r="E465" s="42"/>
      <x:c r="F465" s="105"/>
      <x:c r="G465" s="106"/>
    </x:row>
    <x:row r="466" ht="22" customHeight="1">
      <x:c r="A466" s="92" t="str"/>
      <x:c r="B466" s="94" t="str">
        <x:f>IFERROR(INDEX(Employees!$A$2:$A$500,MATCH(A466,Employees!$B$2:$B$500,0)),"")</x:f>
      </x:c>
      <x:c r="C466" s="45"/>
      <x:c r="D466" s="43" t="str">
        <x:f>IFERROR(VLOOKUP(C466,Employees!$A$2:$B$500,2,FALSE),"")</x:f>
      </x:c>
      <x:c r="E466" s="42"/>
      <x:c r="F466" s="105"/>
      <x:c r="G466" s="106"/>
    </x:row>
    <x:row r="467" ht="22" customHeight="1">
      <x:c r="A467" s="92" t="str"/>
      <x:c r="B467" s="94" t="str">
        <x:f>IFERROR(INDEX(Employees!$A$2:$A$500,MATCH(A467,Employees!$B$2:$B$500,0)),"")</x:f>
      </x:c>
      <x:c r="C467" s="45"/>
      <x:c r="D467" s="43" t="str">
        <x:f>IFERROR(VLOOKUP(C467,Employees!$A$2:$B$500,2,FALSE),"")</x:f>
      </x:c>
      <x:c r="E467" s="42"/>
      <x:c r="F467" s="105"/>
      <x:c r="G467" s="106"/>
    </x:row>
    <x:row r="468" ht="22" customHeight="1">
      <x:c r="A468" s="92" t="str"/>
      <x:c r="B468" s="94" t="str">
        <x:f>IFERROR(INDEX(Employees!$A$2:$A$500,MATCH(A468,Employees!$B$2:$B$500,0)),"")</x:f>
      </x:c>
      <x:c r="C468" s="45"/>
      <x:c r="D468" s="43" t="str">
        <x:f>IFERROR(VLOOKUP(C468,Employees!$A$2:$B$500,2,FALSE),"")</x:f>
      </x:c>
      <x:c r="E468" s="42"/>
      <x:c r="F468" s="105"/>
      <x:c r="G468" s="106"/>
    </x:row>
    <x:row r="469" ht="22" customHeight="1">
      <x:c r="A469" s="92" t="str"/>
      <x:c r="B469" s="94" t="str">
        <x:f>IFERROR(INDEX(Employees!$A$2:$A$500,MATCH(A469,Employees!$B$2:$B$500,0)),"")</x:f>
      </x:c>
      <x:c r="C469" s="45"/>
      <x:c r="D469" s="43" t="str">
        <x:f>IFERROR(VLOOKUP(C469,Employees!$A$2:$B$500,2,FALSE),"")</x:f>
      </x:c>
      <x:c r="E469" s="42"/>
      <x:c r="F469" s="105"/>
      <x:c r="G469" s="106"/>
    </x:row>
    <x:row r="470" ht="22" customHeight="1">
      <x:c r="A470" s="92" t="str"/>
      <x:c r="B470" s="94" t="str">
        <x:f>IFERROR(INDEX(Employees!$A$2:$A$500,MATCH(A470,Employees!$B$2:$B$500,0)),"")</x:f>
      </x:c>
      <x:c r="C470" s="45"/>
      <x:c r="D470" s="43" t="str">
        <x:f>IFERROR(VLOOKUP(C470,Employees!$A$2:$B$500,2,FALSE),"")</x:f>
      </x:c>
      <x:c r="E470" s="42"/>
      <x:c r="F470" s="105"/>
      <x:c r="G470" s="106"/>
    </x:row>
    <x:row r="471" ht="22" customHeight="1">
      <x:c r="A471" s="92" t="str"/>
      <x:c r="B471" s="94" t="str">
        <x:f>IFERROR(INDEX(Employees!$A$2:$A$500,MATCH(A471,Employees!$B$2:$B$500,0)),"")</x:f>
      </x:c>
      <x:c r="C471" s="45"/>
      <x:c r="D471" s="43" t="str">
        <x:f>IFERROR(VLOOKUP(C471,Employees!$A$2:$B$500,2,FALSE),"")</x:f>
      </x:c>
      <x:c r="E471" s="42"/>
      <x:c r="F471" s="105"/>
      <x:c r="G471" s="106"/>
    </x:row>
    <x:row r="472" ht="22" customHeight="1">
      <x:c r="A472" s="92" t="str"/>
      <x:c r="B472" s="94" t="str">
        <x:f>IFERROR(INDEX(Employees!$A$2:$A$500,MATCH(A472,Employees!$B$2:$B$500,0)),"")</x:f>
      </x:c>
      <x:c r="C472" s="45"/>
      <x:c r="D472" s="43" t="str">
        <x:f>IFERROR(VLOOKUP(C472,Employees!$A$2:$B$500,2,FALSE),"")</x:f>
      </x:c>
      <x:c r="E472" s="42"/>
      <x:c r="F472" s="105"/>
      <x:c r="G472" s="106"/>
    </x:row>
    <x:row r="473" ht="22" customHeight="1">
      <x:c r="A473" s="92" t="str"/>
      <x:c r="B473" s="94" t="str">
        <x:f>IFERROR(INDEX(Employees!$A$2:$A$500,MATCH(A473,Employees!$B$2:$B$500,0)),"")</x:f>
      </x:c>
      <x:c r="C473" s="45"/>
      <x:c r="D473" s="43" t="str">
        <x:f>IFERROR(VLOOKUP(C473,Employees!$A$2:$B$500,2,FALSE),"")</x:f>
      </x:c>
      <x:c r="E473" s="42"/>
      <x:c r="F473" s="105"/>
      <x:c r="G473" s="106"/>
    </x:row>
    <x:row r="474" ht="22" customHeight="1">
      <x:c r="A474" s="92" t="str"/>
      <x:c r="B474" s="94" t="str">
        <x:f>IFERROR(INDEX(Employees!$A$2:$A$500,MATCH(A474,Employees!$B$2:$B$500,0)),"")</x:f>
      </x:c>
      <x:c r="C474" s="45"/>
      <x:c r="D474" s="43" t="str">
        <x:f>IFERROR(VLOOKUP(C474,Employees!$A$2:$B$500,2,FALSE),"")</x:f>
      </x:c>
      <x:c r="E474" s="42"/>
      <x:c r="F474" s="105"/>
      <x:c r="G474" s="106"/>
    </x:row>
    <x:row r="475" ht="22" customHeight="1">
      <x:c r="A475" s="92" t="str"/>
      <x:c r="B475" s="94" t="str">
        <x:f>IFERROR(INDEX(Employees!$A$2:$A$500,MATCH(A475,Employees!$B$2:$B$500,0)),"")</x:f>
      </x:c>
      <x:c r="C475" s="45"/>
      <x:c r="D475" s="43" t="str">
        <x:f>IFERROR(VLOOKUP(C475,Employees!$A$2:$B$500,2,FALSE),"")</x:f>
      </x:c>
      <x:c r="E475" s="42"/>
      <x:c r="F475" s="105"/>
      <x:c r="G475" s="106"/>
    </x:row>
    <x:row r="476" ht="22" customHeight="1">
      <x:c r="A476" s="92" t="str"/>
      <x:c r="B476" s="94" t="str">
        <x:f>IFERROR(INDEX(Employees!$A$2:$A$500,MATCH(A476,Employees!$B$2:$B$500,0)),"")</x:f>
      </x:c>
      <x:c r="C476" s="45"/>
      <x:c r="D476" s="43" t="str">
        <x:f>IFERROR(VLOOKUP(C476,Employees!$A$2:$B$500,2,FALSE),"")</x:f>
      </x:c>
      <x:c r="E476" s="42"/>
      <x:c r="F476" s="105"/>
      <x:c r="G476" s="106"/>
    </x:row>
    <x:row r="477" ht="22" customHeight="1">
      <x:c r="A477" s="92" t="str"/>
      <x:c r="B477" s="94" t="str">
        <x:f>IFERROR(INDEX(Employees!$A$2:$A$500,MATCH(A477,Employees!$B$2:$B$500,0)),"")</x:f>
      </x:c>
      <x:c r="C477" s="45"/>
      <x:c r="D477" s="43" t="str">
        <x:f>IFERROR(VLOOKUP(C477,Employees!$A$2:$B$500,2,FALSE),"")</x:f>
      </x:c>
      <x:c r="E477" s="42"/>
      <x:c r="F477" s="105"/>
      <x:c r="G477" s="106"/>
    </x:row>
    <x:row r="478" ht="22" customHeight="1">
      <x:c r="A478" s="92" t="str"/>
      <x:c r="B478" s="94" t="str">
        <x:f>IFERROR(INDEX(Employees!$A$2:$A$500,MATCH(A478,Employees!$B$2:$B$500,0)),"")</x:f>
      </x:c>
      <x:c r="C478" s="45"/>
      <x:c r="D478" s="43" t="str">
        <x:f>IFERROR(VLOOKUP(C478,Employees!$A$2:$B$500,2,FALSE),"")</x:f>
      </x:c>
      <x:c r="E478" s="42"/>
      <x:c r="F478" s="105"/>
      <x:c r="G478" s="106"/>
    </x:row>
    <x:row r="479" ht="22" customHeight="1">
      <x:c r="A479" s="92" t="str"/>
      <x:c r="B479" s="94" t="str">
        <x:f>IFERROR(INDEX(Employees!$A$2:$A$500,MATCH(A479,Employees!$B$2:$B$500,0)),"")</x:f>
      </x:c>
      <x:c r="C479" s="45"/>
      <x:c r="D479" s="43" t="str">
        <x:f>IFERROR(VLOOKUP(C479,Employees!$A$2:$B$500,2,FALSE),"")</x:f>
      </x:c>
      <x:c r="E479" s="42"/>
      <x:c r="F479" s="105"/>
      <x:c r="G479" s="106"/>
    </x:row>
    <x:row r="480" ht="22" customHeight="1">
      <x:c r="A480" s="92" t="str"/>
      <x:c r="B480" s="94" t="str">
        <x:f>IFERROR(INDEX(Employees!$A$2:$A$500,MATCH(A480,Employees!$B$2:$B$500,0)),"")</x:f>
      </x:c>
      <x:c r="C480" s="45"/>
      <x:c r="D480" s="43" t="str">
        <x:f>IFERROR(VLOOKUP(C480,Employees!$A$2:$B$500,2,FALSE),"")</x:f>
      </x:c>
      <x:c r="E480" s="42"/>
      <x:c r="F480" s="105"/>
      <x:c r="G480" s="106"/>
    </x:row>
    <x:row r="481" ht="22" customHeight="1">
      <x:c r="A481" s="92" t="str"/>
      <x:c r="B481" s="94" t="str">
        <x:f>IFERROR(INDEX(Employees!$A$2:$A$500,MATCH(A481,Employees!$B$2:$B$500,0)),"")</x:f>
      </x:c>
      <x:c r="C481" s="45"/>
      <x:c r="D481" s="43" t="str">
        <x:f>IFERROR(VLOOKUP(C481,Employees!$A$2:$B$500,2,FALSE),"")</x:f>
      </x:c>
      <x:c r="E481" s="42"/>
      <x:c r="F481" s="105"/>
      <x:c r="G481" s="106"/>
    </x:row>
    <x:row r="482" ht="22" customHeight="1">
      <x:c r="A482" s="92" t="str"/>
      <x:c r="B482" s="94" t="str">
        <x:f>IFERROR(INDEX(Employees!$A$2:$A$500,MATCH(A482,Employees!$B$2:$B$500,0)),"")</x:f>
      </x:c>
      <x:c r="C482" s="45"/>
      <x:c r="D482" s="43" t="str">
        <x:f>IFERROR(VLOOKUP(C482,Employees!$A$2:$B$500,2,FALSE),"")</x:f>
      </x:c>
      <x:c r="E482" s="42"/>
      <x:c r="F482" s="105"/>
      <x:c r="G482" s="106"/>
    </x:row>
    <x:row r="483" ht="22" customHeight="1">
      <x:c r="A483" s="92" t="str"/>
      <x:c r="B483" s="94" t="str">
        <x:f>IFERROR(INDEX(Employees!$A$2:$A$500,MATCH(A483,Employees!$B$2:$B$500,0)),"")</x:f>
      </x:c>
      <x:c r="C483" s="45"/>
      <x:c r="D483" s="43" t="str">
        <x:f>IFERROR(VLOOKUP(C483,Employees!$A$2:$B$500,2,FALSE),"")</x:f>
      </x:c>
      <x:c r="E483" s="42"/>
      <x:c r="F483" s="105"/>
      <x:c r="G483" s="106"/>
    </x:row>
    <x:row r="484" ht="22" customHeight="1">
      <x:c r="A484" s="92" t="str"/>
      <x:c r="B484" s="94" t="str">
        <x:f>IFERROR(INDEX(Employees!$A$2:$A$500,MATCH(A484,Employees!$B$2:$B$500,0)),"")</x:f>
      </x:c>
      <x:c r="C484" s="45"/>
      <x:c r="D484" s="43" t="str">
        <x:f>IFERROR(VLOOKUP(C484,Employees!$A$2:$B$500,2,FALSE),"")</x:f>
      </x:c>
      <x:c r="E484" s="42"/>
      <x:c r="F484" s="105"/>
      <x:c r="G484" s="106"/>
    </x:row>
    <x:row r="485" ht="22" customHeight="1">
      <x:c r="A485" s="92" t="str"/>
      <x:c r="B485" s="94" t="str">
        <x:f>IFERROR(INDEX(Employees!$A$2:$A$500,MATCH(A485,Employees!$B$2:$B$500,0)),"")</x:f>
      </x:c>
      <x:c r="C485" s="45"/>
      <x:c r="D485" s="43" t="str">
        <x:f>IFERROR(VLOOKUP(C485,Employees!$A$2:$B$500,2,FALSE),"")</x:f>
      </x:c>
      <x:c r="E485" s="42"/>
      <x:c r="F485" s="105"/>
      <x:c r="G485" s="106"/>
    </x:row>
    <x:row r="486" ht="22" customHeight="1">
      <x:c r="A486" s="92" t="str"/>
      <x:c r="B486" s="94" t="str">
        <x:f>IFERROR(INDEX(Employees!$A$2:$A$500,MATCH(A486,Employees!$B$2:$B$500,0)),"")</x:f>
      </x:c>
      <x:c r="C486" s="45"/>
      <x:c r="D486" s="43" t="str">
        <x:f>IFERROR(VLOOKUP(C486,Employees!$A$2:$B$500,2,FALSE),"")</x:f>
      </x:c>
      <x:c r="E486" s="42"/>
      <x:c r="F486" s="105"/>
      <x:c r="G486" s="106"/>
    </x:row>
    <x:row r="487" ht="22" customHeight="1">
      <x:c r="A487" s="92" t="str"/>
      <x:c r="B487" s="94" t="str">
        <x:f>IFERROR(INDEX(Employees!$A$2:$A$500,MATCH(A487,Employees!$B$2:$B$500,0)),"")</x:f>
      </x:c>
      <x:c r="C487" s="45"/>
      <x:c r="D487" s="43" t="str">
        <x:f>IFERROR(VLOOKUP(C487,Employees!$A$2:$B$500,2,FALSE),"")</x:f>
      </x:c>
      <x:c r="E487" s="42"/>
      <x:c r="F487" s="105"/>
      <x:c r="G487" s="106"/>
    </x:row>
    <x:row r="488" ht="22" customHeight="1">
      <x:c r="A488" s="92" t="str"/>
      <x:c r="B488" s="94" t="str">
        <x:f>IFERROR(INDEX(Employees!$A$2:$A$500,MATCH(A488,Employees!$B$2:$B$500,0)),"")</x:f>
      </x:c>
      <x:c r="C488" s="45"/>
      <x:c r="D488" s="43" t="str">
        <x:f>IFERROR(VLOOKUP(C488,Employees!$A$2:$B$500,2,FALSE),"")</x:f>
      </x:c>
      <x:c r="E488" s="42"/>
      <x:c r="F488" s="105"/>
      <x:c r="G488" s="106"/>
    </x:row>
    <x:row r="489" ht="22" customHeight="1">
      <x:c r="A489" s="92" t="str"/>
      <x:c r="B489" s="94" t="str">
        <x:f>IFERROR(INDEX(Employees!$A$2:$A$500,MATCH(A489,Employees!$B$2:$B$500,0)),"")</x:f>
      </x:c>
      <x:c r="C489" s="45"/>
      <x:c r="D489" s="43" t="str">
        <x:f>IFERROR(VLOOKUP(C489,Employees!$A$2:$B$500,2,FALSE),"")</x:f>
      </x:c>
      <x:c r="E489" s="42"/>
      <x:c r="F489" s="105"/>
      <x:c r="G489" s="106"/>
    </x:row>
    <x:row r="490" ht="22" customHeight="1">
      <x:c r="A490" s="92" t="str"/>
      <x:c r="B490" s="94" t="str">
        <x:f>IFERROR(INDEX(Employees!$A$2:$A$500,MATCH(A490,Employees!$B$2:$B$500,0)),"")</x:f>
      </x:c>
      <x:c r="C490" s="45"/>
      <x:c r="D490" s="43" t="str">
        <x:f>IFERROR(VLOOKUP(C490,Employees!$A$2:$B$500,2,FALSE),"")</x:f>
      </x:c>
      <x:c r="E490" s="42"/>
      <x:c r="F490" s="105"/>
      <x:c r="G490" s="106"/>
    </x:row>
    <x:row r="491" ht="22" customHeight="1">
      <x:c r="A491" s="92" t="str"/>
      <x:c r="B491" s="94" t="str">
        <x:f>IFERROR(INDEX(Employees!$A$2:$A$500,MATCH(A491,Employees!$B$2:$B$500,0)),"")</x:f>
      </x:c>
      <x:c r="C491" s="45"/>
      <x:c r="D491" s="43" t="str">
        <x:f>IFERROR(VLOOKUP(C491,Employees!$A$2:$B$500,2,FALSE),"")</x:f>
      </x:c>
      <x:c r="E491" s="42"/>
      <x:c r="F491" s="105"/>
      <x:c r="G491" s="106"/>
    </x:row>
    <x:row r="492" ht="22" customHeight="1">
      <x:c r="A492" s="92" t="str"/>
      <x:c r="B492" s="94" t="str">
        <x:f>IFERROR(INDEX(Employees!$A$2:$A$500,MATCH(A492,Employees!$B$2:$B$500,0)),"")</x:f>
      </x:c>
      <x:c r="C492" s="45"/>
      <x:c r="D492" s="43" t="str">
        <x:f>IFERROR(VLOOKUP(C492,Employees!$A$2:$B$500,2,FALSE),"")</x:f>
      </x:c>
      <x:c r="E492" s="42"/>
      <x:c r="F492" s="105"/>
      <x:c r="G492" s="106"/>
    </x:row>
    <x:row r="493" ht="22" customHeight="1">
      <x:c r="A493" s="92" t="str"/>
      <x:c r="B493" s="94" t="str">
        <x:f>IFERROR(INDEX(Employees!$A$2:$A$500,MATCH(A493,Employees!$B$2:$B$500,0)),"")</x:f>
      </x:c>
      <x:c r="C493" s="45"/>
      <x:c r="D493" s="43" t="str">
        <x:f>IFERROR(VLOOKUP(C493,Employees!$A$2:$B$500,2,FALSE),"")</x:f>
      </x:c>
      <x:c r="E493" s="42"/>
      <x:c r="F493" s="105"/>
      <x:c r="G493" s="106"/>
    </x:row>
    <x:row r="494" ht="22" customHeight="1">
      <x:c r="A494" s="92" t="str"/>
      <x:c r="B494" s="94" t="str">
        <x:f>IFERROR(INDEX(Employees!$A$2:$A$500,MATCH(A494,Employees!$B$2:$B$500,0)),"")</x:f>
      </x:c>
      <x:c r="C494" s="45"/>
      <x:c r="D494" s="43" t="str">
        <x:f>IFERROR(VLOOKUP(C494,Employees!$A$2:$B$500,2,FALSE),"")</x:f>
      </x:c>
      <x:c r="E494" s="42"/>
      <x:c r="F494" s="105"/>
      <x:c r="G494" s="106"/>
    </x:row>
    <x:row r="495" ht="22" customHeight="1">
      <x:c r="A495" s="92" t="str"/>
      <x:c r="B495" s="94" t="str">
        <x:f>IFERROR(INDEX(Employees!$A$2:$A$500,MATCH(A495,Employees!$B$2:$B$500,0)),"")</x:f>
      </x:c>
      <x:c r="C495" s="45"/>
      <x:c r="D495" s="43" t="str">
        <x:f>IFERROR(VLOOKUP(C495,Employees!$A$2:$B$500,2,FALSE),"")</x:f>
      </x:c>
      <x:c r="E495" s="42"/>
      <x:c r="F495" s="105"/>
      <x:c r="G495" s="106"/>
    </x:row>
    <x:row r="496" ht="22" customHeight="1">
      <x:c r="A496" s="92" t="str"/>
      <x:c r="B496" s="94" t="str">
        <x:f>IFERROR(INDEX(Employees!$A$2:$A$500,MATCH(A496,Employees!$B$2:$B$500,0)),"")</x:f>
      </x:c>
      <x:c r="C496" s="45"/>
      <x:c r="D496" s="43" t="str">
        <x:f>IFERROR(VLOOKUP(C496,Employees!$A$2:$B$500,2,FALSE),"")</x:f>
      </x:c>
      <x:c r="E496" s="42"/>
      <x:c r="F496" s="105"/>
      <x:c r="G496" s="106"/>
    </x:row>
    <x:row r="497" ht="22" customHeight="1">
      <x:c r="A497" s="92" t="str"/>
      <x:c r="B497" s="94" t="str">
        <x:f>IFERROR(INDEX(Employees!$A$2:$A$500,MATCH(A497,Employees!$B$2:$B$500,0)),"")</x:f>
      </x:c>
      <x:c r="C497" s="45"/>
      <x:c r="D497" s="43" t="str">
        <x:f>IFERROR(VLOOKUP(C497,Employees!$A$2:$B$500,2,FALSE),"")</x:f>
      </x:c>
      <x:c r="E497" s="42"/>
      <x:c r="F497" s="105"/>
      <x:c r="G497" s="106"/>
    </x:row>
    <x:row r="498" ht="22" customHeight="1">
      <x:c r="A498" s="92" t="str"/>
      <x:c r="B498" s="94" t="str">
        <x:f>IFERROR(INDEX(Employees!$A$2:$A$500,MATCH(A498,Employees!$B$2:$B$500,0)),"")</x:f>
      </x:c>
      <x:c r="C498" s="45"/>
      <x:c r="D498" s="43" t="str">
        <x:f>IFERROR(VLOOKUP(C498,Employees!$A$2:$B$500,2,FALSE),"")</x:f>
      </x:c>
      <x:c r="E498" s="42"/>
      <x:c r="F498" s="105"/>
      <x:c r="G498" s="106"/>
    </x:row>
    <x:row r="499" ht="22" customHeight="1">
      <x:c r="A499" s="92" t="str"/>
      <x:c r="B499" s="94" t="str">
        <x:f>IFERROR(INDEX(Employees!$A$2:$A$500,MATCH(A499,Employees!$B$2:$B$500,0)),"")</x:f>
      </x:c>
      <x:c r="C499" s="45"/>
      <x:c r="D499" s="43" t="str">
        <x:f>IFERROR(VLOOKUP(C499,Employees!$A$2:$B$500,2,FALSE),"")</x:f>
      </x:c>
      <x:c r="E499" s="42"/>
      <x:c r="F499" s="105"/>
      <x:c r="G499" s="106"/>
    </x:row>
    <x:row r="500" ht="22" customHeight="1">
      <x:c r="A500" s="92" t="str"/>
      <x:c r="B500" s="94" t="str">
        <x:f>IFERROR(INDEX(Employees!$A$2:$A$500,MATCH(A500,Employees!$B$2:$B$500,0)),"")</x:f>
      </x:c>
      <x:c r="C500" s="45"/>
      <x:c r="D500" s="43" t="str">
        <x:f>IFERROR(VLOOKUP(C500,Employees!$A$2:$B$500,2,FALSE),"")</x:f>
      </x:c>
      <x:c r="E500" s="42"/>
      <x:c r="F500" s="105"/>
      <x:c r="G500" s="106"/>
    </x:row>
  </x:sheetData>
  <x:conditionalFormatting sqref="B2:B500">
    <x:cfRule type="expression" dxfId="4" priority="1">
      <x:formula>AND(B2&lt;&gt;"",COUNTIF($B$2:$B$500,B2)&gt;1)</x:formula>
    </x:cfRule>
  </x:conditionalFormatting>
  <x:dataValidations count="3">
    <x:dataValidation type="list" sqref="A2:A500">
      <x:formula1>INDIRECT("Employees!$G$2:$G$500")</x:formula1>
    </x:dataValidation>
    <x:dataValidation type="list" sqref="C2:C500">
      <x:formula1>INDIRECT("Employees!$E$2:$E$500")</x:formula1>
    </x:dataValidation>
    <x:dataValidation type="list" sqref="E2:E500">
      <x:formula1>INDIRECT("'Role Settings'!$A$2:$A$100")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722f099a09433b"/>
  </x:tableParts>
</x:worksheet>
</file>

<file path=xl/worksheets/sheet4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17" hidden="0" customWidth="1"/>
    <x:col min="3" max="3" width="17" hidden="0" customWidth="1"/>
    <x:col min="4" max="4" width="32" hidden="0" customWidth="1"/>
    <x:col min="5" max="5" width="25" hidden="0" customWidth="1"/>
    <x:col min="6" max="6" width="16" hidden="0" customWidth="1"/>
    <x:col min="7" max="7" width="42" hidden="0" customWidth="1"/>
  </x:cols>
  <x:sheetData>
    <x:row r="1" ht="26" customHeight="1">
      <x:c r="A1" s="80" t="str">
        <x:v>Employee Name</x:v>
      </x:c>
      <x:c r="B1" s="81" t="str">
        <x:v>Employee ID</x:v>
      </x:c>
      <x:c r="C1" s="81" t="str">
        <x:v>Manager ID</x:v>
      </x:c>
      <x:c r="D1" s="81" t="str">
        <x:v>Manager Name</x:v>
      </x:c>
      <x:c r="E1" s="82" t="str">
        <x:v>Role Type</x:v>
      </x:c>
      <x:c r="F1" s="101" t="str">
        <x:v>PCN</x:v>
      </x:c>
      <x:c r="G1" s="102" t="str">
        <x:v>Explanation</x:v>
      </x:c>
    </x:row>
    <x:row r="2" ht="22" customHeight="1">
      <x:c r="A2" s="92" t="str"/>
      <x:c r="B2" s="94" t="str">
        <x:f>IFERROR(INDEX(Employees!$A$2:$A$500,MATCH(A2,Employees!$B$2:$B$500,0)),"")</x:f>
      </x:c>
      <x:c r="C2" s="45" t="str"/>
      <x:c r="D2" s="43" t="str">
        <x:f>IFERROR(VLOOKUP(C2,Employees!$A$2:$B$500,2,FALSE),"")</x:f>
      </x:c>
      <x:c r="E2" s="42" t="str"/>
      <x:c r="F2" s="105"/>
      <x:c r="G2" s="106"/>
    </x:row>
    <x:row r="3" ht="22" customHeight="1">
      <x:c r="A3" s="92" t="str"/>
      <x:c r="B3" s="94" t="str">
        <x:f>IFERROR(INDEX(Employees!$A$2:$A$500,MATCH(A3,Employees!$B$2:$B$500,0)),"")</x:f>
      </x:c>
      <x:c r="C3" s="45"/>
      <x:c r="D3" s="43" t="str">
        <x:f>IFERROR(VLOOKUP(C3,Employees!$A$2:$B$500,2,FALSE),"")</x:f>
      </x:c>
      <x:c r="E3" s="42"/>
      <x:c r="F3" s="105"/>
      <x:c r="G3" s="106"/>
    </x:row>
    <x:row r="4" ht="22" customHeight="1">
      <x:c r="A4" s="92" t="str"/>
      <x:c r="B4" s="94" t="str">
        <x:f>IFERROR(INDEX(Employees!$A$2:$A$500,MATCH(A4,Employees!$B$2:$B$500,0)),"")</x:f>
      </x:c>
      <x:c r="C4" s="45"/>
      <x:c r="D4" s="43" t="str">
        <x:f>IFERROR(VLOOKUP(C4,Employees!$A$2:$B$500,2,FALSE),"")</x:f>
      </x:c>
      <x:c r="E4" s="42"/>
      <x:c r="F4" s="105"/>
      <x:c r="G4" s="106"/>
    </x:row>
    <x:row r="5" ht="22" customHeight="1">
      <x:c r="A5" s="92" t="str"/>
      <x:c r="B5" s="94" t="str">
        <x:f>IFERROR(INDEX(Employees!$A$2:$A$500,MATCH(A5,Employees!$B$2:$B$500,0)),"")</x:f>
      </x:c>
      <x:c r="C5" s="45"/>
      <x:c r="D5" s="43" t="str">
        <x:f>IFERROR(VLOOKUP(C5,Employees!$A$2:$B$500,2,FALSE),"")</x:f>
      </x:c>
      <x:c r="E5" s="42"/>
      <x:c r="F5" s="105"/>
      <x:c r="G5" s="106"/>
    </x:row>
    <x:row r="6" ht="22" customHeight="1">
      <x:c r="A6" s="92" t="str"/>
      <x:c r="B6" s="94" t="str">
        <x:f>IFERROR(INDEX(Employees!$A$2:$A$500,MATCH(A6,Employees!$B$2:$B$500,0)),"")</x:f>
      </x:c>
      <x:c r="C6" s="45"/>
      <x:c r="D6" s="43" t="str">
        <x:f>IFERROR(VLOOKUP(C6,Employees!$A$2:$B$500,2,FALSE),"")</x:f>
      </x:c>
      <x:c r="E6" s="42"/>
      <x:c r="F6" s="105"/>
      <x:c r="G6" s="106"/>
    </x:row>
    <x:row r="7" ht="22" customHeight="1">
      <x:c r="A7" s="92" t="str"/>
      <x:c r="B7" s="94" t="str">
        <x:f>IFERROR(INDEX(Employees!$A$2:$A$500,MATCH(A7,Employees!$B$2:$B$500,0)),"")</x:f>
      </x:c>
      <x:c r="C7" s="45"/>
      <x:c r="D7" s="43" t="str">
        <x:f>IFERROR(VLOOKUP(C7,Employees!$A$2:$B$500,2,FALSE),"")</x:f>
      </x:c>
      <x:c r="E7" s="42"/>
      <x:c r="F7" s="105"/>
      <x:c r="G7" s="106"/>
    </x:row>
    <x:row r="8" ht="22" customHeight="1">
      <x:c r="A8" s="92" t="str"/>
      <x:c r="B8" s="94" t="str">
        <x:f>IFERROR(INDEX(Employees!$A$2:$A$500,MATCH(A8,Employees!$B$2:$B$500,0)),"")</x:f>
      </x:c>
      <x:c r="C8" s="45"/>
      <x:c r="D8" s="43" t="str">
        <x:f>IFERROR(VLOOKUP(C8,Employees!$A$2:$B$500,2,FALSE),"")</x:f>
      </x:c>
      <x:c r="E8" s="42"/>
      <x:c r="F8" s="105"/>
      <x:c r="G8" s="106"/>
    </x:row>
    <x:row r="9" ht="22" customHeight="1">
      <x:c r="A9" s="92" t="str"/>
      <x:c r="B9" s="94" t="str">
        <x:f>IFERROR(INDEX(Employees!$A$2:$A$500,MATCH(A9,Employees!$B$2:$B$500,0)),"")</x:f>
      </x:c>
      <x:c r="C9" s="45"/>
      <x:c r="D9" s="43" t="str">
        <x:f>IFERROR(VLOOKUP(C9,Employees!$A$2:$B$500,2,FALSE),"")</x:f>
      </x:c>
      <x:c r="E9" s="42"/>
      <x:c r="F9" s="105"/>
      <x:c r="G9" s="106"/>
    </x:row>
    <x:row r="10" ht="22" customHeight="1">
      <x:c r="A10" s="92" t="str"/>
      <x:c r="B10" s="94" t="str">
        <x:f>IFERROR(INDEX(Employees!$A$2:$A$500,MATCH(A10,Employees!$B$2:$B$500,0)),"")</x:f>
      </x:c>
      <x:c r="C10" s="45"/>
      <x:c r="D10" s="43" t="str">
        <x:f>IFERROR(VLOOKUP(C10,Employees!$A$2:$B$500,2,FALSE),"")</x:f>
      </x:c>
      <x:c r="E10" s="42"/>
      <x:c r="F10" s="105"/>
      <x:c r="G10" s="106"/>
    </x:row>
    <x:row r="11" ht="22" customHeight="1">
      <x:c r="A11" s="92" t="str"/>
      <x:c r="B11" s="94" t="str">
        <x:f>IFERROR(INDEX(Employees!$A$2:$A$500,MATCH(A11,Employees!$B$2:$B$500,0)),"")</x:f>
      </x:c>
      <x:c r="C11" s="45"/>
      <x:c r="D11" s="43" t="str">
        <x:f>IFERROR(VLOOKUP(C11,Employees!$A$2:$B$500,2,FALSE),"")</x:f>
      </x:c>
      <x:c r="E11" s="42"/>
      <x:c r="F11" s="105"/>
      <x:c r="G11" s="106"/>
    </x:row>
    <x:row r="12" ht="22" customHeight="1">
      <x:c r="A12" s="92" t="str"/>
      <x:c r="B12" s="94" t="str">
        <x:f>IFERROR(INDEX(Employees!$A$2:$A$500,MATCH(A12,Employees!$B$2:$B$500,0)),"")</x:f>
      </x:c>
      <x:c r="C12" s="45"/>
      <x:c r="D12" s="43" t="str">
        <x:f>IFERROR(VLOOKUP(C12,Employees!$A$2:$B$500,2,FALSE),"")</x:f>
      </x:c>
      <x:c r="E12" s="42"/>
      <x:c r="F12" s="105"/>
      <x:c r="G12" s="106"/>
    </x:row>
    <x:row r="13" ht="22" customHeight="1">
      <x:c r="A13" s="92" t="str"/>
      <x:c r="B13" s="94" t="str">
        <x:f>IFERROR(INDEX(Employees!$A$2:$A$500,MATCH(A13,Employees!$B$2:$B$500,0)),"")</x:f>
      </x:c>
      <x:c r="C13" s="45"/>
      <x:c r="D13" s="43" t="str">
        <x:f>IFERROR(VLOOKUP(C13,Employees!$A$2:$B$500,2,FALSE),"")</x:f>
      </x:c>
      <x:c r="E13" s="42"/>
      <x:c r="F13" s="105"/>
      <x:c r="G13" s="106"/>
    </x:row>
    <x:row r="14" ht="22" customHeight="1">
      <x:c r="A14" s="92" t="str"/>
      <x:c r="B14" s="94" t="str">
        <x:f>IFERROR(INDEX(Employees!$A$2:$A$500,MATCH(A14,Employees!$B$2:$B$500,0)),"")</x:f>
      </x:c>
      <x:c r="C14" s="45"/>
      <x:c r="D14" s="43" t="str">
        <x:f>IFERROR(VLOOKUP(C14,Employees!$A$2:$B$500,2,FALSE),"")</x:f>
      </x:c>
      <x:c r="E14" s="42"/>
      <x:c r="F14" s="105"/>
      <x:c r="G14" s="106"/>
    </x:row>
    <x:row r="15" ht="22" customHeight="1">
      <x:c r="A15" s="92" t="str"/>
      <x:c r="B15" s="94" t="str">
        <x:f>IFERROR(INDEX(Employees!$A$2:$A$500,MATCH(A15,Employees!$B$2:$B$500,0)),"")</x:f>
      </x:c>
      <x:c r="C15" s="45"/>
      <x:c r="D15" s="43" t="str">
        <x:f>IFERROR(VLOOKUP(C15,Employees!$A$2:$B$500,2,FALSE),"")</x:f>
      </x:c>
      <x:c r="E15" s="42"/>
      <x:c r="F15" s="105"/>
      <x:c r="G15" s="106"/>
    </x:row>
    <x:row r="16" ht="22" customHeight="1">
      <x:c r="A16" s="92" t="str"/>
      <x:c r="B16" s="94" t="str">
        <x:f>IFERROR(INDEX(Employees!$A$2:$A$500,MATCH(A16,Employees!$B$2:$B$500,0)),"")</x:f>
      </x:c>
      <x:c r="C16" s="45"/>
      <x:c r="D16" s="43" t="str">
        <x:f>IFERROR(VLOOKUP(C16,Employees!$A$2:$B$500,2,FALSE),"")</x:f>
      </x:c>
      <x:c r="E16" s="42"/>
      <x:c r="F16" s="105"/>
      <x:c r="G16" s="106"/>
    </x:row>
    <x:row r="17" ht="22" customHeight="1">
      <x:c r="A17" s="92" t="str"/>
      <x:c r="B17" s="94" t="str">
        <x:f>IFERROR(INDEX(Employees!$A$2:$A$500,MATCH(A17,Employees!$B$2:$B$500,0)),"")</x:f>
      </x:c>
      <x:c r="C17" s="45"/>
      <x:c r="D17" s="43" t="str">
        <x:f>IFERROR(VLOOKUP(C17,Employees!$A$2:$B$500,2,FALSE),"")</x:f>
      </x:c>
      <x:c r="E17" s="42"/>
      <x:c r="F17" s="105"/>
      <x:c r="G17" s="106"/>
    </x:row>
    <x:row r="18" ht="22" customHeight="1">
      <x:c r="A18" s="92" t="str"/>
      <x:c r="B18" s="94" t="str">
        <x:f>IFERROR(INDEX(Employees!$A$2:$A$500,MATCH(A18,Employees!$B$2:$B$500,0)),"")</x:f>
      </x:c>
      <x:c r="C18" s="45"/>
      <x:c r="D18" s="43" t="str">
        <x:f>IFERROR(VLOOKUP(C18,Employees!$A$2:$B$500,2,FALSE),"")</x:f>
      </x:c>
      <x:c r="E18" s="42"/>
      <x:c r="F18" s="105"/>
      <x:c r="G18" s="106"/>
    </x:row>
    <x:row r="19" ht="22" customHeight="1">
      <x:c r="A19" s="92" t="str"/>
      <x:c r="B19" s="94" t="str">
        <x:f>IFERROR(INDEX(Employees!$A$2:$A$500,MATCH(A19,Employees!$B$2:$B$500,0)),"")</x:f>
      </x:c>
      <x:c r="C19" s="45"/>
      <x:c r="D19" s="43" t="str">
        <x:f>IFERROR(VLOOKUP(C19,Employees!$A$2:$B$500,2,FALSE),"")</x:f>
      </x:c>
      <x:c r="E19" s="42"/>
      <x:c r="F19" s="105"/>
      <x:c r="G19" s="106"/>
    </x:row>
    <x:row r="20" ht="22" customHeight="1">
      <x:c r="A20" s="92" t="str"/>
      <x:c r="B20" s="94" t="str">
        <x:f>IFERROR(INDEX(Employees!$A$2:$A$500,MATCH(A20,Employees!$B$2:$B$500,0)),"")</x:f>
      </x:c>
      <x:c r="C20" s="45"/>
      <x:c r="D20" s="43" t="str">
        <x:f>IFERROR(VLOOKUP(C20,Employees!$A$2:$B$500,2,FALSE),"")</x:f>
      </x:c>
      <x:c r="E20" s="42"/>
      <x:c r="F20" s="105"/>
      <x:c r="G20" s="106"/>
    </x:row>
    <x:row r="21" ht="22" customHeight="1">
      <x:c r="A21" s="92" t="str"/>
      <x:c r="B21" s="94" t="str">
        <x:f>IFERROR(INDEX(Employees!$A$2:$A$500,MATCH(A21,Employees!$B$2:$B$500,0)),"")</x:f>
      </x:c>
      <x:c r="C21" s="45"/>
      <x:c r="D21" s="43" t="str">
        <x:f>IFERROR(VLOOKUP(C21,Employees!$A$2:$B$500,2,FALSE),"")</x:f>
      </x:c>
      <x:c r="E21" s="42"/>
      <x:c r="F21" s="105"/>
      <x:c r="G21" s="106"/>
    </x:row>
    <x:row r="22" ht="22" customHeight="1">
      <x:c r="A22" s="92" t="str"/>
      <x:c r="B22" s="94" t="str">
        <x:f>IFERROR(INDEX(Employees!$A$2:$A$500,MATCH(A22,Employees!$B$2:$B$500,0)),"")</x:f>
      </x:c>
      <x:c r="C22" s="45"/>
      <x:c r="D22" s="43" t="str">
        <x:f>IFERROR(VLOOKUP(C22,Employees!$A$2:$B$500,2,FALSE),"")</x:f>
      </x:c>
      <x:c r="E22" s="42"/>
      <x:c r="F22" s="105"/>
      <x:c r="G22" s="106"/>
    </x:row>
    <x:row r="23" ht="22" customHeight="1">
      <x:c r="A23" s="92" t="str"/>
      <x:c r="B23" s="94" t="str">
        <x:f>IFERROR(INDEX(Employees!$A$2:$A$500,MATCH(A23,Employees!$B$2:$B$500,0)),"")</x:f>
      </x:c>
      <x:c r="C23" s="45"/>
      <x:c r="D23" s="43" t="str">
        <x:f>IFERROR(VLOOKUP(C23,Employees!$A$2:$B$500,2,FALSE),"")</x:f>
      </x:c>
      <x:c r="E23" s="42"/>
      <x:c r="F23" s="105"/>
      <x:c r="G23" s="106"/>
    </x:row>
    <x:row r="24" ht="22" customHeight="1">
      <x:c r="A24" s="92" t="str"/>
      <x:c r="B24" s="94" t="str">
        <x:f>IFERROR(INDEX(Employees!$A$2:$A$500,MATCH(A24,Employees!$B$2:$B$500,0)),"")</x:f>
      </x:c>
      <x:c r="C24" s="45"/>
      <x:c r="D24" s="43" t="str">
        <x:f>IFERROR(VLOOKUP(C24,Employees!$A$2:$B$500,2,FALSE),"")</x:f>
      </x:c>
      <x:c r="E24" s="42"/>
      <x:c r="F24" s="105"/>
      <x:c r="G24" s="106"/>
    </x:row>
    <x:row r="25" ht="22" customHeight="1">
      <x:c r="A25" s="92" t="str"/>
      <x:c r="B25" s="94" t="str">
        <x:f>IFERROR(INDEX(Employees!$A$2:$A$500,MATCH(A25,Employees!$B$2:$B$500,0)),"")</x:f>
      </x:c>
      <x:c r="C25" s="45"/>
      <x:c r="D25" s="43" t="str">
        <x:f>IFERROR(VLOOKUP(C25,Employees!$A$2:$B$500,2,FALSE),"")</x:f>
      </x:c>
      <x:c r="E25" s="42"/>
      <x:c r="F25" s="105"/>
      <x:c r="G25" s="106"/>
    </x:row>
    <x:row r="26" ht="22" customHeight="1">
      <x:c r="A26" s="92" t="str"/>
      <x:c r="B26" s="94" t="str">
        <x:f>IFERROR(INDEX(Employees!$A$2:$A$500,MATCH(A26,Employees!$B$2:$B$500,0)),"")</x:f>
      </x:c>
      <x:c r="C26" s="45"/>
      <x:c r="D26" s="43" t="str">
        <x:f>IFERROR(VLOOKUP(C26,Employees!$A$2:$B$500,2,FALSE),"")</x:f>
      </x:c>
      <x:c r="E26" s="42"/>
      <x:c r="F26" s="105"/>
      <x:c r="G26" s="106"/>
    </x:row>
    <x:row r="27" ht="22" customHeight="1">
      <x:c r="A27" s="92" t="str"/>
      <x:c r="B27" s="94" t="str">
        <x:f>IFERROR(INDEX(Employees!$A$2:$A$500,MATCH(A27,Employees!$B$2:$B$500,0)),"")</x:f>
      </x:c>
      <x:c r="C27" s="45"/>
      <x:c r="D27" s="43" t="str">
        <x:f>IFERROR(VLOOKUP(C27,Employees!$A$2:$B$500,2,FALSE),"")</x:f>
      </x:c>
      <x:c r="E27" s="42"/>
      <x:c r="F27" s="105"/>
      <x:c r="G27" s="106"/>
    </x:row>
    <x:row r="28" ht="22" customHeight="1">
      <x:c r="A28" s="92" t="str"/>
      <x:c r="B28" s="94" t="str">
        <x:f>IFERROR(INDEX(Employees!$A$2:$A$500,MATCH(A28,Employees!$B$2:$B$500,0)),"")</x:f>
      </x:c>
      <x:c r="C28" s="45"/>
      <x:c r="D28" s="43" t="str">
        <x:f>IFERROR(VLOOKUP(C28,Employees!$A$2:$B$500,2,FALSE),"")</x:f>
      </x:c>
      <x:c r="E28" s="42"/>
      <x:c r="F28" s="105"/>
      <x:c r="G28" s="106"/>
    </x:row>
    <x:row r="29" ht="22" customHeight="1">
      <x:c r="A29" s="92" t="str"/>
      <x:c r="B29" s="94" t="str">
        <x:f>IFERROR(INDEX(Employees!$A$2:$A$500,MATCH(A29,Employees!$B$2:$B$500,0)),"")</x:f>
      </x:c>
      <x:c r="C29" s="45"/>
      <x:c r="D29" s="43" t="str">
        <x:f>IFERROR(VLOOKUP(C29,Employees!$A$2:$B$500,2,FALSE),"")</x:f>
      </x:c>
      <x:c r="E29" s="42"/>
      <x:c r="F29" s="105"/>
      <x:c r="G29" s="106"/>
    </x:row>
    <x:row r="30" ht="22" customHeight="1">
      <x:c r="A30" s="92" t="str"/>
      <x:c r="B30" s="94" t="str">
        <x:f>IFERROR(INDEX(Employees!$A$2:$A$500,MATCH(A30,Employees!$B$2:$B$500,0)),"")</x:f>
      </x:c>
      <x:c r="C30" s="45"/>
      <x:c r="D30" s="43" t="str">
        <x:f>IFERROR(VLOOKUP(C30,Employees!$A$2:$B$500,2,FALSE),"")</x:f>
      </x:c>
      <x:c r="E30" s="42"/>
      <x:c r="F30" s="105"/>
      <x:c r="G30" s="106"/>
    </x:row>
    <x:row r="31" ht="22" customHeight="1">
      <x:c r="A31" s="92" t="str"/>
      <x:c r="B31" s="94" t="str">
        <x:f>IFERROR(INDEX(Employees!$A$2:$A$500,MATCH(A31,Employees!$B$2:$B$500,0)),"")</x:f>
      </x:c>
      <x:c r="C31" s="45"/>
      <x:c r="D31" s="43" t="str">
        <x:f>IFERROR(VLOOKUP(C31,Employees!$A$2:$B$500,2,FALSE),"")</x:f>
      </x:c>
      <x:c r="E31" s="42"/>
      <x:c r="F31" s="105"/>
      <x:c r="G31" s="106"/>
    </x:row>
    <x:row r="32" ht="22" customHeight="1">
      <x:c r="A32" s="92" t="str"/>
      <x:c r="B32" s="94" t="str">
        <x:f>IFERROR(INDEX(Employees!$A$2:$A$500,MATCH(A32,Employees!$B$2:$B$500,0)),"")</x:f>
      </x:c>
      <x:c r="C32" s="45"/>
      <x:c r="D32" s="43" t="str">
        <x:f>IFERROR(VLOOKUP(C32,Employees!$A$2:$B$500,2,FALSE),"")</x:f>
      </x:c>
      <x:c r="E32" s="42"/>
      <x:c r="F32" s="105"/>
      <x:c r="G32" s="106"/>
    </x:row>
    <x:row r="33" ht="22" customHeight="1">
      <x:c r="A33" s="92" t="str"/>
      <x:c r="B33" s="94" t="str">
        <x:f>IFERROR(INDEX(Employees!$A$2:$A$500,MATCH(A33,Employees!$B$2:$B$500,0)),"")</x:f>
      </x:c>
      <x:c r="C33" s="45"/>
      <x:c r="D33" s="43" t="str">
        <x:f>IFERROR(VLOOKUP(C33,Employees!$A$2:$B$500,2,FALSE),"")</x:f>
      </x:c>
      <x:c r="E33" s="42"/>
      <x:c r="F33" s="105"/>
      <x:c r="G33" s="106"/>
    </x:row>
    <x:row r="34" ht="22" customHeight="1">
      <x:c r="A34" s="92" t="str"/>
      <x:c r="B34" s="94" t="str">
        <x:f>IFERROR(INDEX(Employees!$A$2:$A$500,MATCH(A34,Employees!$B$2:$B$500,0)),"")</x:f>
      </x:c>
      <x:c r="C34" s="45"/>
      <x:c r="D34" s="43" t="str">
        <x:f>IFERROR(VLOOKUP(C34,Employees!$A$2:$B$500,2,FALSE),"")</x:f>
      </x:c>
      <x:c r="E34" s="42"/>
      <x:c r="F34" s="105"/>
      <x:c r="G34" s="106"/>
    </x:row>
    <x:row r="35" ht="22" customHeight="1">
      <x:c r="A35" s="92" t="str"/>
      <x:c r="B35" s="94" t="str">
        <x:f>IFERROR(INDEX(Employees!$A$2:$A$500,MATCH(A35,Employees!$B$2:$B$500,0)),"")</x:f>
      </x:c>
      <x:c r="C35" s="45"/>
      <x:c r="D35" s="43" t="str">
        <x:f>IFERROR(VLOOKUP(C35,Employees!$A$2:$B$500,2,FALSE),"")</x:f>
      </x:c>
      <x:c r="E35" s="42"/>
      <x:c r="F35" s="105"/>
      <x:c r="G35" s="106"/>
    </x:row>
    <x:row r="36" ht="22" customHeight="1">
      <x:c r="A36" s="92" t="str"/>
      <x:c r="B36" s="94" t="str">
        <x:f>IFERROR(INDEX(Employees!$A$2:$A$500,MATCH(A36,Employees!$B$2:$B$500,0)),"")</x:f>
      </x:c>
      <x:c r="C36" s="45"/>
      <x:c r="D36" s="43" t="str">
        <x:f>IFERROR(VLOOKUP(C36,Employees!$A$2:$B$500,2,FALSE),"")</x:f>
      </x:c>
      <x:c r="E36" s="42"/>
      <x:c r="F36" s="105"/>
      <x:c r="G36" s="106"/>
    </x:row>
    <x:row r="37" ht="22" customHeight="1">
      <x:c r="A37" s="92" t="str"/>
      <x:c r="B37" s="94" t="str">
        <x:f>IFERROR(INDEX(Employees!$A$2:$A$500,MATCH(A37,Employees!$B$2:$B$500,0)),"")</x:f>
      </x:c>
      <x:c r="C37" s="45"/>
      <x:c r="D37" s="43" t="str">
        <x:f>IFERROR(VLOOKUP(C37,Employees!$A$2:$B$500,2,FALSE),"")</x:f>
      </x:c>
      <x:c r="E37" s="42"/>
      <x:c r="F37" s="105"/>
      <x:c r="G37" s="106"/>
    </x:row>
    <x:row r="38" ht="22" customHeight="1">
      <x:c r="A38" s="92" t="str"/>
      <x:c r="B38" s="94" t="str">
        <x:f>IFERROR(INDEX(Employees!$A$2:$A$500,MATCH(A38,Employees!$B$2:$B$500,0)),"")</x:f>
      </x:c>
      <x:c r="C38" s="45"/>
      <x:c r="D38" s="43" t="str">
        <x:f>IFERROR(VLOOKUP(C38,Employees!$A$2:$B$500,2,FALSE),"")</x:f>
      </x:c>
      <x:c r="E38" s="42"/>
      <x:c r="F38" s="105"/>
      <x:c r="G38" s="106"/>
    </x:row>
    <x:row r="39" ht="22" customHeight="1">
      <x:c r="A39" s="92" t="str"/>
      <x:c r="B39" s="94" t="str">
        <x:f>IFERROR(INDEX(Employees!$A$2:$A$500,MATCH(A39,Employees!$B$2:$B$500,0)),"")</x:f>
      </x:c>
      <x:c r="C39" s="45"/>
      <x:c r="D39" s="43" t="str">
        <x:f>IFERROR(VLOOKUP(C39,Employees!$A$2:$B$500,2,FALSE),"")</x:f>
      </x:c>
      <x:c r="E39" s="42"/>
      <x:c r="F39" s="105"/>
      <x:c r="G39" s="106"/>
    </x:row>
    <x:row r="40" ht="22" customHeight="1">
      <x:c r="A40" s="92" t="str"/>
      <x:c r="B40" s="94" t="str">
        <x:f>IFERROR(INDEX(Employees!$A$2:$A$500,MATCH(A40,Employees!$B$2:$B$500,0)),"")</x:f>
      </x:c>
      <x:c r="C40" s="45"/>
      <x:c r="D40" s="43" t="str">
        <x:f>IFERROR(VLOOKUP(C40,Employees!$A$2:$B$500,2,FALSE),"")</x:f>
      </x:c>
      <x:c r="E40" s="42"/>
      <x:c r="F40" s="105"/>
      <x:c r="G40" s="106"/>
    </x:row>
    <x:row r="41" ht="22" customHeight="1">
      <x:c r="A41" s="92" t="str"/>
      <x:c r="B41" s="94" t="str">
        <x:f>IFERROR(INDEX(Employees!$A$2:$A$500,MATCH(A41,Employees!$B$2:$B$500,0)),"")</x:f>
      </x:c>
      <x:c r="C41" s="45"/>
      <x:c r="D41" s="43" t="str">
        <x:f>IFERROR(VLOOKUP(C41,Employees!$A$2:$B$500,2,FALSE),"")</x:f>
      </x:c>
      <x:c r="E41" s="42"/>
      <x:c r="F41" s="105"/>
      <x:c r="G41" s="106"/>
    </x:row>
    <x:row r="42" ht="22" customHeight="1">
      <x:c r="A42" s="92" t="str"/>
      <x:c r="B42" s="94" t="str">
        <x:f>IFERROR(INDEX(Employees!$A$2:$A$500,MATCH(A42,Employees!$B$2:$B$500,0)),"")</x:f>
      </x:c>
      <x:c r="C42" s="45"/>
      <x:c r="D42" s="43" t="str">
        <x:f>IFERROR(VLOOKUP(C42,Employees!$A$2:$B$500,2,FALSE),"")</x:f>
      </x:c>
      <x:c r="E42" s="42"/>
      <x:c r="F42" s="105"/>
      <x:c r="G42" s="106"/>
    </x:row>
    <x:row r="43" ht="22" customHeight="1">
      <x:c r="A43" s="92" t="str"/>
      <x:c r="B43" s="94" t="str">
        <x:f>IFERROR(INDEX(Employees!$A$2:$A$500,MATCH(A43,Employees!$B$2:$B$500,0)),"")</x:f>
      </x:c>
      <x:c r="C43" s="45"/>
      <x:c r="D43" s="43" t="str">
        <x:f>IFERROR(VLOOKUP(C43,Employees!$A$2:$B$500,2,FALSE),"")</x:f>
      </x:c>
      <x:c r="E43" s="42"/>
      <x:c r="F43" s="105"/>
      <x:c r="G43" s="106"/>
    </x:row>
    <x:row r="44" ht="22" customHeight="1">
      <x:c r="A44" s="92" t="str"/>
      <x:c r="B44" s="94" t="str">
        <x:f>IFERROR(INDEX(Employees!$A$2:$A$500,MATCH(A44,Employees!$B$2:$B$500,0)),"")</x:f>
      </x:c>
      <x:c r="C44" s="45"/>
      <x:c r="D44" s="43" t="str">
        <x:f>IFERROR(VLOOKUP(C44,Employees!$A$2:$B$500,2,FALSE),"")</x:f>
      </x:c>
      <x:c r="E44" s="42"/>
      <x:c r="F44" s="105"/>
      <x:c r="G44" s="106"/>
    </x:row>
    <x:row r="45" ht="22" customHeight="1">
      <x:c r="A45" s="92" t="str"/>
      <x:c r="B45" s="94" t="str">
        <x:f>IFERROR(INDEX(Employees!$A$2:$A$500,MATCH(A45,Employees!$B$2:$B$500,0)),"")</x:f>
      </x:c>
      <x:c r="C45" s="45"/>
      <x:c r="D45" s="43" t="str">
        <x:f>IFERROR(VLOOKUP(C45,Employees!$A$2:$B$500,2,FALSE),"")</x:f>
      </x:c>
      <x:c r="E45" s="42"/>
      <x:c r="F45" s="105"/>
      <x:c r="G45" s="106"/>
    </x:row>
    <x:row r="46" ht="22" customHeight="1">
      <x:c r="A46" s="92" t="str"/>
      <x:c r="B46" s="94" t="str">
        <x:f>IFERROR(INDEX(Employees!$A$2:$A$500,MATCH(A46,Employees!$B$2:$B$500,0)),"")</x:f>
      </x:c>
      <x:c r="C46" s="45"/>
      <x:c r="D46" s="43" t="str">
        <x:f>IFERROR(VLOOKUP(C46,Employees!$A$2:$B$500,2,FALSE),"")</x:f>
      </x:c>
      <x:c r="E46" s="42"/>
      <x:c r="F46" s="105"/>
      <x:c r="G46" s="106"/>
    </x:row>
    <x:row r="47" ht="22" customHeight="1">
      <x:c r="A47" s="92" t="str"/>
      <x:c r="B47" s="94" t="str">
        <x:f>IFERROR(INDEX(Employees!$A$2:$A$500,MATCH(A47,Employees!$B$2:$B$500,0)),"")</x:f>
      </x:c>
      <x:c r="C47" s="45"/>
      <x:c r="D47" s="43" t="str">
        <x:f>IFERROR(VLOOKUP(C47,Employees!$A$2:$B$500,2,FALSE),"")</x:f>
      </x:c>
      <x:c r="E47" s="42"/>
      <x:c r="F47" s="105"/>
      <x:c r="G47" s="106"/>
    </x:row>
    <x:row r="48" ht="22" customHeight="1">
      <x:c r="A48" s="92" t="str"/>
      <x:c r="B48" s="94" t="str">
        <x:f>IFERROR(INDEX(Employees!$A$2:$A$500,MATCH(A48,Employees!$B$2:$B$500,0)),"")</x:f>
      </x:c>
      <x:c r="C48" s="45"/>
      <x:c r="D48" s="43" t="str">
        <x:f>IFERROR(VLOOKUP(C48,Employees!$A$2:$B$500,2,FALSE),"")</x:f>
      </x:c>
      <x:c r="E48" s="42"/>
      <x:c r="F48" s="105"/>
      <x:c r="G48" s="106"/>
    </x:row>
    <x:row r="49" ht="22" customHeight="1">
      <x:c r="A49" s="92" t="str"/>
      <x:c r="B49" s="94" t="str">
        <x:f>IFERROR(INDEX(Employees!$A$2:$A$500,MATCH(A49,Employees!$B$2:$B$500,0)),"")</x:f>
      </x:c>
      <x:c r="C49" s="45"/>
      <x:c r="D49" s="43" t="str">
        <x:f>IFERROR(VLOOKUP(C49,Employees!$A$2:$B$500,2,FALSE),"")</x:f>
      </x:c>
      <x:c r="E49" s="42"/>
      <x:c r="F49" s="105"/>
      <x:c r="G49" s="106"/>
    </x:row>
    <x:row r="50" ht="22" customHeight="1">
      <x:c r="A50" s="92" t="str"/>
      <x:c r="B50" s="94" t="str">
        <x:f>IFERROR(INDEX(Employees!$A$2:$A$500,MATCH(A50,Employees!$B$2:$B$500,0)),"")</x:f>
      </x:c>
      <x:c r="C50" s="45"/>
      <x:c r="D50" s="43" t="str">
        <x:f>IFERROR(VLOOKUP(C50,Employees!$A$2:$B$500,2,FALSE),"")</x:f>
      </x:c>
      <x:c r="E50" s="42"/>
      <x:c r="F50" s="105"/>
      <x:c r="G50" s="106"/>
    </x:row>
    <x:row r="51" ht="22" customHeight="1">
      <x:c r="A51" s="92" t="str"/>
      <x:c r="B51" s="94" t="str">
        <x:f>IFERROR(INDEX(Employees!$A$2:$A$500,MATCH(A51,Employees!$B$2:$B$500,0)),"")</x:f>
      </x:c>
      <x:c r="C51" s="45"/>
      <x:c r="D51" s="43" t="str">
        <x:f>IFERROR(VLOOKUP(C51,Employees!$A$2:$B$500,2,FALSE),"")</x:f>
      </x:c>
      <x:c r="E51" s="42"/>
      <x:c r="F51" s="105"/>
      <x:c r="G51" s="106"/>
    </x:row>
    <x:row r="52" ht="22" customHeight="1">
      <x:c r="A52" s="92" t="str"/>
      <x:c r="B52" s="94" t="str">
        <x:f>IFERROR(INDEX(Employees!$A$2:$A$500,MATCH(A52,Employees!$B$2:$B$500,0)),"")</x:f>
      </x:c>
      <x:c r="C52" s="45"/>
      <x:c r="D52" s="43" t="str">
        <x:f>IFERROR(VLOOKUP(C52,Employees!$A$2:$B$500,2,FALSE),"")</x:f>
      </x:c>
      <x:c r="E52" s="42"/>
      <x:c r="F52" s="105"/>
      <x:c r="G52" s="106"/>
    </x:row>
    <x:row r="53" ht="22" customHeight="1">
      <x:c r="A53" s="92" t="str"/>
      <x:c r="B53" s="94" t="str">
        <x:f>IFERROR(INDEX(Employees!$A$2:$A$500,MATCH(A53,Employees!$B$2:$B$500,0)),"")</x:f>
      </x:c>
      <x:c r="C53" s="45"/>
      <x:c r="D53" s="43" t="str">
        <x:f>IFERROR(VLOOKUP(C53,Employees!$A$2:$B$500,2,FALSE),"")</x:f>
      </x:c>
      <x:c r="E53" s="42"/>
      <x:c r="F53" s="105"/>
      <x:c r="G53" s="106"/>
    </x:row>
    <x:row r="54" ht="22" customHeight="1">
      <x:c r="A54" s="92" t="str"/>
      <x:c r="B54" s="94" t="str">
        <x:f>IFERROR(INDEX(Employees!$A$2:$A$500,MATCH(A54,Employees!$B$2:$B$500,0)),"")</x:f>
      </x:c>
      <x:c r="C54" s="45"/>
      <x:c r="D54" s="43" t="str">
        <x:f>IFERROR(VLOOKUP(C54,Employees!$A$2:$B$500,2,FALSE),"")</x:f>
      </x:c>
      <x:c r="E54" s="42"/>
      <x:c r="F54" s="105"/>
      <x:c r="G54" s="106"/>
    </x:row>
    <x:row r="55" ht="22" customHeight="1">
      <x:c r="A55" s="92" t="str"/>
      <x:c r="B55" s="94" t="str">
        <x:f>IFERROR(INDEX(Employees!$A$2:$A$500,MATCH(A55,Employees!$B$2:$B$500,0)),"")</x:f>
      </x:c>
      <x:c r="C55" s="45"/>
      <x:c r="D55" s="43" t="str">
        <x:f>IFERROR(VLOOKUP(C55,Employees!$A$2:$B$500,2,FALSE),"")</x:f>
      </x:c>
      <x:c r="E55" s="42"/>
      <x:c r="F55" s="105"/>
      <x:c r="G55" s="106"/>
    </x:row>
    <x:row r="56" ht="22" customHeight="1">
      <x:c r="A56" s="92" t="str"/>
      <x:c r="B56" s="94" t="str">
        <x:f>IFERROR(INDEX(Employees!$A$2:$A$500,MATCH(A56,Employees!$B$2:$B$500,0)),"")</x:f>
      </x:c>
      <x:c r="C56" s="45"/>
      <x:c r="D56" s="43" t="str">
        <x:f>IFERROR(VLOOKUP(C56,Employees!$A$2:$B$500,2,FALSE),"")</x:f>
      </x:c>
      <x:c r="E56" s="42"/>
      <x:c r="F56" s="105"/>
      <x:c r="G56" s="106"/>
    </x:row>
    <x:row r="57" ht="22" customHeight="1">
      <x:c r="A57" s="92" t="str"/>
      <x:c r="B57" s="94" t="str">
        <x:f>IFERROR(INDEX(Employees!$A$2:$A$500,MATCH(A57,Employees!$B$2:$B$500,0)),"")</x:f>
      </x:c>
      <x:c r="C57" s="45"/>
      <x:c r="D57" s="43" t="str">
        <x:f>IFERROR(VLOOKUP(C57,Employees!$A$2:$B$500,2,FALSE),"")</x:f>
      </x:c>
      <x:c r="E57" s="42"/>
      <x:c r="F57" s="105"/>
      <x:c r="G57" s="106"/>
    </x:row>
    <x:row r="58" ht="22" customHeight="1">
      <x:c r="A58" s="92" t="str"/>
      <x:c r="B58" s="94" t="str">
        <x:f>IFERROR(INDEX(Employees!$A$2:$A$500,MATCH(A58,Employees!$B$2:$B$500,0)),"")</x:f>
      </x:c>
      <x:c r="C58" s="45"/>
      <x:c r="D58" s="43" t="str">
        <x:f>IFERROR(VLOOKUP(C58,Employees!$A$2:$B$500,2,FALSE),"")</x:f>
      </x:c>
      <x:c r="E58" s="42"/>
      <x:c r="F58" s="105"/>
      <x:c r="G58" s="106"/>
    </x:row>
    <x:row r="59" ht="22" customHeight="1">
      <x:c r="A59" s="92" t="str"/>
      <x:c r="B59" s="94" t="str">
        <x:f>IFERROR(INDEX(Employees!$A$2:$A$500,MATCH(A59,Employees!$B$2:$B$500,0)),"")</x:f>
      </x:c>
      <x:c r="C59" s="45"/>
      <x:c r="D59" s="43" t="str">
        <x:f>IFERROR(VLOOKUP(C59,Employees!$A$2:$B$500,2,FALSE),"")</x:f>
      </x:c>
      <x:c r="E59" s="42"/>
      <x:c r="F59" s="105"/>
      <x:c r="G59" s="106"/>
    </x:row>
    <x:row r="60" ht="22" customHeight="1">
      <x:c r="A60" s="92" t="str"/>
      <x:c r="B60" s="94" t="str">
        <x:f>IFERROR(INDEX(Employees!$A$2:$A$500,MATCH(A60,Employees!$B$2:$B$500,0)),"")</x:f>
      </x:c>
      <x:c r="C60" s="45"/>
      <x:c r="D60" s="43" t="str">
        <x:f>IFERROR(VLOOKUP(C60,Employees!$A$2:$B$500,2,FALSE),"")</x:f>
      </x:c>
      <x:c r="E60" s="42"/>
      <x:c r="F60" s="105"/>
      <x:c r="G60" s="106"/>
    </x:row>
    <x:row r="61" ht="22" customHeight="1">
      <x:c r="A61" s="92" t="str"/>
      <x:c r="B61" s="94" t="str">
        <x:f>IFERROR(INDEX(Employees!$A$2:$A$500,MATCH(A61,Employees!$B$2:$B$500,0)),"")</x:f>
      </x:c>
      <x:c r="C61" s="45"/>
      <x:c r="D61" s="43" t="str">
        <x:f>IFERROR(VLOOKUP(C61,Employees!$A$2:$B$500,2,FALSE),"")</x:f>
      </x:c>
      <x:c r="E61" s="42"/>
      <x:c r="F61" s="105"/>
      <x:c r="G61" s="106"/>
    </x:row>
    <x:row r="62" ht="22" customHeight="1">
      <x:c r="A62" s="92" t="str"/>
      <x:c r="B62" s="94" t="str">
        <x:f>IFERROR(INDEX(Employees!$A$2:$A$500,MATCH(A62,Employees!$B$2:$B$500,0)),"")</x:f>
      </x:c>
      <x:c r="C62" s="45"/>
      <x:c r="D62" s="43" t="str">
        <x:f>IFERROR(VLOOKUP(C62,Employees!$A$2:$B$500,2,FALSE),"")</x:f>
      </x:c>
      <x:c r="E62" s="42"/>
      <x:c r="F62" s="105"/>
      <x:c r="G62" s="106"/>
    </x:row>
    <x:row r="63" ht="22" customHeight="1">
      <x:c r="A63" s="92" t="str"/>
      <x:c r="B63" s="94" t="str">
        <x:f>IFERROR(INDEX(Employees!$A$2:$A$500,MATCH(A63,Employees!$B$2:$B$500,0)),"")</x:f>
      </x:c>
      <x:c r="C63" s="45"/>
      <x:c r="D63" s="43" t="str">
        <x:f>IFERROR(VLOOKUP(C63,Employees!$A$2:$B$500,2,FALSE),"")</x:f>
      </x:c>
      <x:c r="E63" s="42"/>
      <x:c r="F63" s="105"/>
      <x:c r="G63" s="106"/>
    </x:row>
    <x:row r="64" ht="22" customHeight="1">
      <x:c r="A64" s="92" t="str"/>
      <x:c r="B64" s="94" t="str">
        <x:f>IFERROR(INDEX(Employees!$A$2:$A$500,MATCH(A64,Employees!$B$2:$B$500,0)),"")</x:f>
      </x:c>
      <x:c r="C64" s="45"/>
      <x:c r="D64" s="43" t="str">
        <x:f>IFERROR(VLOOKUP(C64,Employees!$A$2:$B$500,2,FALSE),"")</x:f>
      </x:c>
      <x:c r="E64" s="42"/>
      <x:c r="F64" s="105"/>
      <x:c r="G64" s="106"/>
    </x:row>
    <x:row r="65" ht="22" customHeight="1">
      <x:c r="A65" s="92" t="str"/>
      <x:c r="B65" s="94" t="str">
        <x:f>IFERROR(INDEX(Employees!$A$2:$A$500,MATCH(A65,Employees!$B$2:$B$500,0)),"")</x:f>
      </x:c>
      <x:c r="C65" s="45"/>
      <x:c r="D65" s="43" t="str">
        <x:f>IFERROR(VLOOKUP(C65,Employees!$A$2:$B$500,2,FALSE),"")</x:f>
      </x:c>
      <x:c r="E65" s="42"/>
      <x:c r="F65" s="105"/>
      <x:c r="G65" s="106"/>
    </x:row>
    <x:row r="66" ht="22" customHeight="1">
      <x:c r="A66" s="92" t="str"/>
      <x:c r="B66" s="94" t="str">
        <x:f>IFERROR(INDEX(Employees!$A$2:$A$500,MATCH(A66,Employees!$B$2:$B$500,0)),"")</x:f>
      </x:c>
      <x:c r="C66" s="45"/>
      <x:c r="D66" s="43" t="str">
        <x:f>IFERROR(VLOOKUP(C66,Employees!$A$2:$B$500,2,FALSE),"")</x:f>
      </x:c>
      <x:c r="E66" s="42"/>
      <x:c r="F66" s="105"/>
      <x:c r="G66" s="106"/>
    </x:row>
    <x:row r="67" ht="22" customHeight="1">
      <x:c r="A67" s="92" t="str"/>
      <x:c r="B67" s="94" t="str">
        <x:f>IFERROR(INDEX(Employees!$A$2:$A$500,MATCH(A67,Employees!$B$2:$B$500,0)),"")</x:f>
      </x:c>
      <x:c r="C67" s="45"/>
      <x:c r="D67" s="43" t="str">
        <x:f>IFERROR(VLOOKUP(C67,Employees!$A$2:$B$500,2,FALSE),"")</x:f>
      </x:c>
      <x:c r="E67" s="42"/>
      <x:c r="F67" s="105"/>
      <x:c r="G67" s="106"/>
    </x:row>
    <x:row r="68" ht="22" customHeight="1">
      <x:c r="A68" s="92" t="str"/>
      <x:c r="B68" s="94" t="str">
        <x:f>IFERROR(INDEX(Employees!$A$2:$A$500,MATCH(A68,Employees!$B$2:$B$500,0)),"")</x:f>
      </x:c>
      <x:c r="C68" s="45"/>
      <x:c r="D68" s="43" t="str">
        <x:f>IFERROR(VLOOKUP(C68,Employees!$A$2:$B$500,2,FALSE),"")</x:f>
      </x:c>
      <x:c r="E68" s="42"/>
      <x:c r="F68" s="105"/>
      <x:c r="G68" s="106"/>
    </x:row>
    <x:row r="69" ht="22" customHeight="1">
      <x:c r="A69" s="92" t="str"/>
      <x:c r="B69" s="94" t="str">
        <x:f>IFERROR(INDEX(Employees!$A$2:$A$500,MATCH(A69,Employees!$B$2:$B$500,0)),"")</x:f>
      </x:c>
      <x:c r="C69" s="45"/>
      <x:c r="D69" s="43" t="str">
        <x:f>IFERROR(VLOOKUP(C69,Employees!$A$2:$B$500,2,FALSE),"")</x:f>
      </x:c>
      <x:c r="E69" s="42"/>
      <x:c r="F69" s="105"/>
      <x:c r="G69" s="106"/>
    </x:row>
    <x:row r="70" ht="22" customHeight="1">
      <x:c r="A70" s="92" t="str"/>
      <x:c r="B70" s="94" t="str">
        <x:f>IFERROR(INDEX(Employees!$A$2:$A$500,MATCH(A70,Employees!$B$2:$B$500,0)),"")</x:f>
      </x:c>
      <x:c r="C70" s="45"/>
      <x:c r="D70" s="43" t="str">
        <x:f>IFERROR(VLOOKUP(C70,Employees!$A$2:$B$500,2,FALSE),"")</x:f>
      </x:c>
      <x:c r="E70" s="42"/>
      <x:c r="F70" s="105"/>
      <x:c r="G70" s="106"/>
    </x:row>
    <x:row r="71" ht="22" customHeight="1">
      <x:c r="A71" s="92" t="str"/>
      <x:c r="B71" s="94" t="str">
        <x:f>IFERROR(INDEX(Employees!$A$2:$A$500,MATCH(A71,Employees!$B$2:$B$500,0)),"")</x:f>
      </x:c>
      <x:c r="C71" s="45"/>
      <x:c r="D71" s="43" t="str">
        <x:f>IFERROR(VLOOKUP(C71,Employees!$A$2:$B$500,2,FALSE),"")</x:f>
      </x:c>
      <x:c r="E71" s="42"/>
      <x:c r="F71" s="105"/>
      <x:c r="G71" s="106"/>
    </x:row>
    <x:row r="72" ht="22" customHeight="1">
      <x:c r="A72" s="92" t="str"/>
      <x:c r="B72" s="94" t="str">
        <x:f>IFERROR(INDEX(Employees!$A$2:$A$500,MATCH(A72,Employees!$B$2:$B$500,0)),"")</x:f>
      </x:c>
      <x:c r="C72" s="45"/>
      <x:c r="D72" s="43" t="str">
        <x:f>IFERROR(VLOOKUP(C72,Employees!$A$2:$B$500,2,FALSE),"")</x:f>
      </x:c>
      <x:c r="E72" s="42"/>
      <x:c r="F72" s="105"/>
      <x:c r="G72" s="106"/>
    </x:row>
    <x:row r="73" ht="22" customHeight="1">
      <x:c r="A73" s="92" t="str"/>
      <x:c r="B73" s="94" t="str">
        <x:f>IFERROR(INDEX(Employees!$A$2:$A$500,MATCH(A73,Employees!$B$2:$B$500,0)),"")</x:f>
      </x:c>
      <x:c r="C73" s="45"/>
      <x:c r="D73" s="43" t="str">
        <x:f>IFERROR(VLOOKUP(C73,Employees!$A$2:$B$500,2,FALSE),"")</x:f>
      </x:c>
      <x:c r="E73" s="42"/>
      <x:c r="F73" s="105"/>
      <x:c r="G73" s="106"/>
    </x:row>
    <x:row r="74" ht="22" customHeight="1">
      <x:c r="A74" s="92" t="str"/>
      <x:c r="B74" s="94" t="str">
        <x:f>IFERROR(INDEX(Employees!$A$2:$A$500,MATCH(A74,Employees!$B$2:$B$500,0)),"")</x:f>
      </x:c>
      <x:c r="C74" s="45"/>
      <x:c r="D74" s="43" t="str">
        <x:f>IFERROR(VLOOKUP(C74,Employees!$A$2:$B$500,2,FALSE),"")</x:f>
      </x:c>
      <x:c r="E74" s="42"/>
      <x:c r="F74" s="105"/>
      <x:c r="G74" s="106"/>
    </x:row>
    <x:row r="75" ht="22" customHeight="1">
      <x:c r="A75" s="92" t="str"/>
      <x:c r="B75" s="94" t="str">
        <x:f>IFERROR(INDEX(Employees!$A$2:$A$500,MATCH(A75,Employees!$B$2:$B$500,0)),"")</x:f>
      </x:c>
      <x:c r="C75" s="45"/>
      <x:c r="D75" s="43" t="str">
        <x:f>IFERROR(VLOOKUP(C75,Employees!$A$2:$B$500,2,FALSE),"")</x:f>
      </x:c>
      <x:c r="E75" s="42"/>
      <x:c r="F75" s="105"/>
      <x:c r="G75" s="106"/>
    </x:row>
    <x:row r="76" ht="22" customHeight="1">
      <x:c r="A76" s="92" t="str"/>
      <x:c r="B76" s="94" t="str">
        <x:f>IFERROR(INDEX(Employees!$A$2:$A$500,MATCH(A76,Employees!$B$2:$B$500,0)),"")</x:f>
      </x:c>
      <x:c r="C76" s="45"/>
      <x:c r="D76" s="43" t="str">
        <x:f>IFERROR(VLOOKUP(C76,Employees!$A$2:$B$500,2,FALSE),"")</x:f>
      </x:c>
      <x:c r="E76" s="42"/>
      <x:c r="F76" s="105"/>
      <x:c r="G76" s="106"/>
    </x:row>
    <x:row r="77" ht="22" customHeight="1">
      <x:c r="A77" s="92" t="str"/>
      <x:c r="B77" s="94" t="str">
        <x:f>IFERROR(INDEX(Employees!$A$2:$A$500,MATCH(A77,Employees!$B$2:$B$500,0)),"")</x:f>
      </x:c>
      <x:c r="C77" s="45"/>
      <x:c r="D77" s="43" t="str">
        <x:f>IFERROR(VLOOKUP(C77,Employees!$A$2:$B$500,2,FALSE),"")</x:f>
      </x:c>
      <x:c r="E77" s="42"/>
      <x:c r="F77" s="105"/>
      <x:c r="G77" s="106"/>
    </x:row>
    <x:row r="78" ht="22" customHeight="1">
      <x:c r="A78" s="92" t="str"/>
      <x:c r="B78" s="94" t="str">
        <x:f>IFERROR(INDEX(Employees!$A$2:$A$500,MATCH(A78,Employees!$B$2:$B$500,0)),"")</x:f>
      </x:c>
      <x:c r="C78" s="45"/>
      <x:c r="D78" s="43" t="str">
        <x:f>IFERROR(VLOOKUP(C78,Employees!$A$2:$B$500,2,FALSE),"")</x:f>
      </x:c>
      <x:c r="E78" s="42"/>
      <x:c r="F78" s="105"/>
      <x:c r="G78" s="106"/>
    </x:row>
    <x:row r="79" ht="22" customHeight="1">
      <x:c r="A79" s="92" t="str"/>
      <x:c r="B79" s="94" t="str">
        <x:f>IFERROR(INDEX(Employees!$A$2:$A$500,MATCH(A79,Employees!$B$2:$B$500,0)),"")</x:f>
      </x:c>
      <x:c r="C79" s="45"/>
      <x:c r="D79" s="43" t="str">
        <x:f>IFERROR(VLOOKUP(C79,Employees!$A$2:$B$500,2,FALSE),"")</x:f>
      </x:c>
      <x:c r="E79" s="42"/>
      <x:c r="F79" s="105"/>
      <x:c r="G79" s="106"/>
    </x:row>
    <x:row r="80" ht="22" customHeight="1">
      <x:c r="A80" s="92" t="str"/>
      <x:c r="B80" s="94" t="str">
        <x:f>IFERROR(INDEX(Employees!$A$2:$A$500,MATCH(A80,Employees!$B$2:$B$500,0)),"")</x:f>
      </x:c>
      <x:c r="C80" s="45"/>
      <x:c r="D80" s="43" t="str">
        <x:f>IFERROR(VLOOKUP(C80,Employees!$A$2:$B$500,2,FALSE),"")</x:f>
      </x:c>
      <x:c r="E80" s="42"/>
      <x:c r="F80" s="105"/>
      <x:c r="G80" s="106"/>
    </x:row>
    <x:row r="81" ht="22" customHeight="1">
      <x:c r="A81" s="92" t="str"/>
      <x:c r="B81" s="94" t="str">
        <x:f>IFERROR(INDEX(Employees!$A$2:$A$500,MATCH(A81,Employees!$B$2:$B$500,0)),"")</x:f>
      </x:c>
      <x:c r="C81" s="45"/>
      <x:c r="D81" s="43" t="str">
        <x:f>IFERROR(VLOOKUP(C81,Employees!$A$2:$B$500,2,FALSE),"")</x:f>
      </x:c>
      <x:c r="E81" s="42"/>
      <x:c r="F81" s="105"/>
      <x:c r="G81" s="106"/>
    </x:row>
    <x:row r="82" ht="22" customHeight="1">
      <x:c r="A82" s="92" t="str"/>
      <x:c r="B82" s="94" t="str">
        <x:f>IFERROR(INDEX(Employees!$A$2:$A$500,MATCH(A82,Employees!$B$2:$B$500,0)),"")</x:f>
      </x:c>
      <x:c r="C82" s="45"/>
      <x:c r="D82" s="43" t="str">
        <x:f>IFERROR(VLOOKUP(C82,Employees!$A$2:$B$500,2,FALSE),"")</x:f>
      </x:c>
      <x:c r="E82" s="42"/>
      <x:c r="F82" s="105"/>
      <x:c r="G82" s="106"/>
    </x:row>
    <x:row r="83" ht="22" customHeight="1">
      <x:c r="A83" s="92" t="str"/>
      <x:c r="B83" s="94" t="str">
        <x:f>IFERROR(INDEX(Employees!$A$2:$A$500,MATCH(A83,Employees!$B$2:$B$500,0)),"")</x:f>
      </x:c>
      <x:c r="C83" s="45"/>
      <x:c r="D83" s="43" t="str">
        <x:f>IFERROR(VLOOKUP(C83,Employees!$A$2:$B$500,2,FALSE),"")</x:f>
      </x:c>
      <x:c r="E83" s="42"/>
      <x:c r="F83" s="105"/>
      <x:c r="G83" s="106"/>
    </x:row>
    <x:row r="84" ht="22" customHeight="1">
      <x:c r="A84" s="92" t="str"/>
      <x:c r="B84" s="94" t="str">
        <x:f>IFERROR(INDEX(Employees!$A$2:$A$500,MATCH(A84,Employees!$B$2:$B$500,0)),"")</x:f>
      </x:c>
      <x:c r="C84" s="45"/>
      <x:c r="D84" s="43" t="str">
        <x:f>IFERROR(VLOOKUP(C84,Employees!$A$2:$B$500,2,FALSE),"")</x:f>
      </x:c>
      <x:c r="E84" s="42"/>
      <x:c r="F84" s="105"/>
      <x:c r="G84" s="106"/>
    </x:row>
    <x:row r="85" ht="22" customHeight="1">
      <x:c r="A85" s="92" t="str"/>
      <x:c r="B85" s="94" t="str">
        <x:f>IFERROR(INDEX(Employees!$A$2:$A$500,MATCH(A85,Employees!$B$2:$B$500,0)),"")</x:f>
      </x:c>
      <x:c r="C85" s="45"/>
      <x:c r="D85" s="43" t="str">
        <x:f>IFERROR(VLOOKUP(C85,Employees!$A$2:$B$500,2,FALSE),"")</x:f>
      </x:c>
      <x:c r="E85" s="42"/>
      <x:c r="F85" s="105"/>
      <x:c r="G85" s="106"/>
    </x:row>
    <x:row r="86" ht="22" customHeight="1">
      <x:c r="A86" s="92" t="str"/>
      <x:c r="B86" s="94" t="str">
        <x:f>IFERROR(INDEX(Employees!$A$2:$A$500,MATCH(A86,Employees!$B$2:$B$500,0)),"")</x:f>
      </x:c>
      <x:c r="C86" s="45"/>
      <x:c r="D86" s="43" t="str">
        <x:f>IFERROR(VLOOKUP(C86,Employees!$A$2:$B$500,2,FALSE),"")</x:f>
      </x:c>
      <x:c r="E86" s="42"/>
      <x:c r="F86" s="105"/>
      <x:c r="G86" s="106"/>
    </x:row>
    <x:row r="87" ht="22" customHeight="1">
      <x:c r="A87" s="92" t="str"/>
      <x:c r="B87" s="94" t="str">
        <x:f>IFERROR(INDEX(Employees!$A$2:$A$500,MATCH(A87,Employees!$B$2:$B$500,0)),"")</x:f>
      </x:c>
      <x:c r="C87" s="45"/>
      <x:c r="D87" s="43" t="str">
        <x:f>IFERROR(VLOOKUP(C87,Employees!$A$2:$B$500,2,FALSE),"")</x:f>
      </x:c>
      <x:c r="E87" s="42"/>
      <x:c r="F87" s="105"/>
      <x:c r="G87" s="106"/>
    </x:row>
    <x:row r="88" ht="22" customHeight="1">
      <x:c r="A88" s="92" t="str"/>
      <x:c r="B88" s="94" t="str">
        <x:f>IFERROR(INDEX(Employees!$A$2:$A$500,MATCH(A88,Employees!$B$2:$B$500,0)),"")</x:f>
      </x:c>
      <x:c r="C88" s="45"/>
      <x:c r="D88" s="43" t="str">
        <x:f>IFERROR(VLOOKUP(C88,Employees!$A$2:$B$500,2,FALSE),"")</x:f>
      </x:c>
      <x:c r="E88" s="42"/>
      <x:c r="F88" s="105"/>
      <x:c r="G88" s="106"/>
    </x:row>
    <x:row r="89" ht="22" customHeight="1">
      <x:c r="A89" s="92" t="str"/>
      <x:c r="B89" s="94" t="str">
        <x:f>IFERROR(INDEX(Employees!$A$2:$A$500,MATCH(A89,Employees!$B$2:$B$500,0)),"")</x:f>
      </x:c>
      <x:c r="C89" s="45"/>
      <x:c r="D89" s="43" t="str">
        <x:f>IFERROR(VLOOKUP(C89,Employees!$A$2:$B$500,2,FALSE),"")</x:f>
      </x:c>
      <x:c r="E89" s="42"/>
      <x:c r="F89" s="105"/>
      <x:c r="G89" s="106"/>
    </x:row>
    <x:row r="90" ht="22" customHeight="1">
      <x:c r="A90" s="92" t="str"/>
      <x:c r="B90" s="94" t="str">
        <x:f>IFERROR(INDEX(Employees!$A$2:$A$500,MATCH(A90,Employees!$B$2:$B$500,0)),"")</x:f>
      </x:c>
      <x:c r="C90" s="45"/>
      <x:c r="D90" s="43" t="str">
        <x:f>IFERROR(VLOOKUP(C90,Employees!$A$2:$B$500,2,FALSE),"")</x:f>
      </x:c>
      <x:c r="E90" s="42"/>
      <x:c r="F90" s="105"/>
      <x:c r="G90" s="106"/>
    </x:row>
    <x:row r="91" ht="22" customHeight="1">
      <x:c r="A91" s="92" t="str"/>
      <x:c r="B91" s="94" t="str">
        <x:f>IFERROR(INDEX(Employees!$A$2:$A$500,MATCH(A91,Employees!$B$2:$B$500,0)),"")</x:f>
      </x:c>
      <x:c r="C91" s="45"/>
      <x:c r="D91" s="43" t="str">
        <x:f>IFERROR(VLOOKUP(C91,Employees!$A$2:$B$500,2,FALSE),"")</x:f>
      </x:c>
      <x:c r="E91" s="42"/>
      <x:c r="F91" s="105"/>
      <x:c r="G91" s="106"/>
    </x:row>
    <x:row r="92" ht="22" customHeight="1">
      <x:c r="A92" s="92" t="str"/>
      <x:c r="B92" s="94" t="str">
        <x:f>IFERROR(INDEX(Employees!$A$2:$A$500,MATCH(A92,Employees!$B$2:$B$500,0)),"")</x:f>
      </x:c>
      <x:c r="C92" s="45"/>
      <x:c r="D92" s="43" t="str">
        <x:f>IFERROR(VLOOKUP(C92,Employees!$A$2:$B$500,2,FALSE),"")</x:f>
      </x:c>
      <x:c r="E92" s="42"/>
      <x:c r="F92" s="105"/>
      <x:c r="G92" s="106"/>
    </x:row>
    <x:row r="93" ht="22" customHeight="1">
      <x:c r="A93" s="92" t="str"/>
      <x:c r="B93" s="94" t="str">
        <x:f>IFERROR(INDEX(Employees!$A$2:$A$500,MATCH(A93,Employees!$B$2:$B$500,0)),"")</x:f>
      </x:c>
      <x:c r="C93" s="45"/>
      <x:c r="D93" s="43" t="str">
        <x:f>IFERROR(VLOOKUP(C93,Employees!$A$2:$B$500,2,FALSE),"")</x:f>
      </x:c>
      <x:c r="E93" s="42"/>
      <x:c r="F93" s="105"/>
      <x:c r="G93" s="106"/>
    </x:row>
    <x:row r="94" ht="22" customHeight="1">
      <x:c r="A94" s="92" t="str"/>
      <x:c r="B94" s="94" t="str">
        <x:f>IFERROR(INDEX(Employees!$A$2:$A$500,MATCH(A94,Employees!$B$2:$B$500,0)),"")</x:f>
      </x:c>
      <x:c r="C94" s="45"/>
      <x:c r="D94" s="43" t="str">
        <x:f>IFERROR(VLOOKUP(C94,Employees!$A$2:$B$500,2,FALSE),"")</x:f>
      </x:c>
      <x:c r="E94" s="42"/>
      <x:c r="F94" s="105"/>
      <x:c r="G94" s="106"/>
    </x:row>
    <x:row r="95" ht="22" customHeight="1">
      <x:c r="A95" s="92" t="str"/>
      <x:c r="B95" s="94" t="str">
        <x:f>IFERROR(INDEX(Employees!$A$2:$A$500,MATCH(A95,Employees!$B$2:$B$500,0)),"")</x:f>
      </x:c>
      <x:c r="C95" s="45"/>
      <x:c r="D95" s="43" t="str">
        <x:f>IFERROR(VLOOKUP(C95,Employees!$A$2:$B$500,2,FALSE),"")</x:f>
      </x:c>
      <x:c r="E95" s="42"/>
      <x:c r="F95" s="105"/>
      <x:c r="G95" s="106"/>
    </x:row>
    <x:row r="96" ht="22" customHeight="1">
      <x:c r="A96" s="92" t="str"/>
      <x:c r="B96" s="94" t="str">
        <x:f>IFERROR(INDEX(Employees!$A$2:$A$500,MATCH(A96,Employees!$B$2:$B$500,0)),"")</x:f>
      </x:c>
      <x:c r="C96" s="45"/>
      <x:c r="D96" s="43" t="str">
        <x:f>IFERROR(VLOOKUP(C96,Employees!$A$2:$B$500,2,FALSE),"")</x:f>
      </x:c>
      <x:c r="E96" s="42"/>
      <x:c r="F96" s="105"/>
      <x:c r="G96" s="106"/>
    </x:row>
    <x:row r="97" ht="22" customHeight="1">
      <x:c r="A97" s="92" t="str"/>
      <x:c r="B97" s="94" t="str">
        <x:f>IFERROR(INDEX(Employees!$A$2:$A$500,MATCH(A97,Employees!$B$2:$B$500,0)),"")</x:f>
      </x:c>
      <x:c r="C97" s="45"/>
      <x:c r="D97" s="43" t="str">
        <x:f>IFERROR(VLOOKUP(C97,Employees!$A$2:$B$500,2,FALSE),"")</x:f>
      </x:c>
      <x:c r="E97" s="42"/>
      <x:c r="F97" s="105"/>
      <x:c r="G97" s="106"/>
    </x:row>
    <x:row r="98" ht="22" customHeight="1">
      <x:c r="A98" s="92" t="str"/>
      <x:c r="B98" s="94" t="str">
        <x:f>IFERROR(INDEX(Employees!$A$2:$A$500,MATCH(A98,Employees!$B$2:$B$500,0)),"")</x:f>
      </x:c>
      <x:c r="C98" s="45"/>
      <x:c r="D98" s="43" t="str">
        <x:f>IFERROR(VLOOKUP(C98,Employees!$A$2:$B$500,2,FALSE),"")</x:f>
      </x:c>
      <x:c r="E98" s="42"/>
      <x:c r="F98" s="105"/>
      <x:c r="G98" s="106"/>
    </x:row>
    <x:row r="99" ht="22" customHeight="1">
      <x:c r="A99" s="92" t="str"/>
      <x:c r="B99" s="94" t="str">
        <x:f>IFERROR(INDEX(Employees!$A$2:$A$500,MATCH(A99,Employees!$B$2:$B$500,0)),"")</x:f>
      </x:c>
      <x:c r="C99" s="45"/>
      <x:c r="D99" s="43" t="str">
        <x:f>IFERROR(VLOOKUP(C99,Employees!$A$2:$B$500,2,FALSE),"")</x:f>
      </x:c>
      <x:c r="E99" s="42"/>
      <x:c r="F99" s="105"/>
      <x:c r="G99" s="106"/>
    </x:row>
    <x:row r="100" ht="22" customHeight="1">
      <x:c r="A100" s="92" t="str"/>
      <x:c r="B100" s="94" t="str">
        <x:f>IFERROR(INDEX(Employees!$A$2:$A$500,MATCH(A100,Employees!$B$2:$B$500,0)),"")</x:f>
      </x:c>
      <x:c r="C100" s="45"/>
      <x:c r="D100" s="43" t="str">
        <x:f>IFERROR(VLOOKUP(C100,Employees!$A$2:$B$500,2,FALSE),"")</x:f>
      </x:c>
      <x:c r="E100" s="42"/>
      <x:c r="F100" s="105"/>
      <x:c r="G100" s="106"/>
    </x:row>
    <x:row r="101" ht="22" customHeight="1">
      <x:c r="A101" s="92" t="str"/>
      <x:c r="B101" s="94" t="str">
        <x:f>IFERROR(INDEX(Employees!$A$2:$A$500,MATCH(A101,Employees!$B$2:$B$500,0)),"")</x:f>
      </x:c>
      <x:c r="C101" s="45"/>
      <x:c r="D101" s="43" t="str">
        <x:f>IFERROR(VLOOKUP(C101,Employees!$A$2:$B$500,2,FALSE),"")</x:f>
      </x:c>
      <x:c r="E101" s="42"/>
      <x:c r="F101" s="105"/>
      <x:c r="G101" s="106"/>
    </x:row>
    <x:row r="102" ht="22" customHeight="1">
      <x:c r="A102" s="92" t="str"/>
      <x:c r="B102" s="94" t="str">
        <x:f>IFERROR(INDEX(Employees!$A$2:$A$500,MATCH(A102,Employees!$B$2:$B$500,0)),"")</x:f>
      </x:c>
      <x:c r="C102" s="45"/>
      <x:c r="D102" s="43" t="str">
        <x:f>IFERROR(VLOOKUP(C102,Employees!$A$2:$B$500,2,FALSE),"")</x:f>
      </x:c>
      <x:c r="E102" s="42"/>
      <x:c r="F102" s="105"/>
      <x:c r="G102" s="106"/>
    </x:row>
    <x:row r="103" ht="22" customHeight="1">
      <x:c r="A103" s="92" t="str"/>
      <x:c r="B103" s="94" t="str">
        <x:f>IFERROR(INDEX(Employees!$A$2:$A$500,MATCH(A103,Employees!$B$2:$B$500,0)),"")</x:f>
      </x:c>
      <x:c r="C103" s="45"/>
      <x:c r="D103" s="43" t="str">
        <x:f>IFERROR(VLOOKUP(C103,Employees!$A$2:$B$500,2,FALSE),"")</x:f>
      </x:c>
      <x:c r="E103" s="42"/>
      <x:c r="F103" s="105"/>
      <x:c r="G103" s="106"/>
    </x:row>
    <x:row r="104" ht="22" customHeight="1">
      <x:c r="A104" s="92" t="str"/>
      <x:c r="B104" s="94" t="str">
        <x:f>IFERROR(INDEX(Employees!$A$2:$A$500,MATCH(A104,Employees!$B$2:$B$500,0)),"")</x:f>
      </x:c>
      <x:c r="C104" s="45"/>
      <x:c r="D104" s="43" t="str">
        <x:f>IFERROR(VLOOKUP(C104,Employees!$A$2:$B$500,2,FALSE),"")</x:f>
      </x:c>
      <x:c r="E104" s="42"/>
      <x:c r="F104" s="105"/>
      <x:c r="G104" s="106"/>
    </x:row>
    <x:row r="105" ht="22" customHeight="1">
      <x:c r="A105" s="92" t="str"/>
      <x:c r="B105" s="94" t="str">
        <x:f>IFERROR(INDEX(Employees!$A$2:$A$500,MATCH(A105,Employees!$B$2:$B$500,0)),"")</x:f>
      </x:c>
      <x:c r="C105" s="45"/>
      <x:c r="D105" s="43" t="str">
        <x:f>IFERROR(VLOOKUP(C105,Employees!$A$2:$B$500,2,FALSE),"")</x:f>
      </x:c>
      <x:c r="E105" s="42"/>
      <x:c r="F105" s="105"/>
      <x:c r="G105" s="106"/>
    </x:row>
    <x:row r="106" ht="22" customHeight="1">
      <x:c r="A106" s="92" t="str"/>
      <x:c r="B106" s="94" t="str">
        <x:f>IFERROR(INDEX(Employees!$A$2:$A$500,MATCH(A106,Employees!$B$2:$B$500,0)),"")</x:f>
      </x:c>
      <x:c r="C106" s="45"/>
      <x:c r="D106" s="43" t="str">
        <x:f>IFERROR(VLOOKUP(C106,Employees!$A$2:$B$500,2,FALSE),"")</x:f>
      </x:c>
      <x:c r="E106" s="42"/>
      <x:c r="F106" s="105"/>
      <x:c r="G106" s="106"/>
    </x:row>
    <x:row r="107" ht="22" customHeight="1">
      <x:c r="A107" s="92" t="str"/>
      <x:c r="B107" s="94" t="str">
        <x:f>IFERROR(INDEX(Employees!$A$2:$A$500,MATCH(A107,Employees!$B$2:$B$500,0)),"")</x:f>
      </x:c>
      <x:c r="C107" s="45"/>
      <x:c r="D107" s="43" t="str">
        <x:f>IFERROR(VLOOKUP(C107,Employees!$A$2:$B$500,2,FALSE),"")</x:f>
      </x:c>
      <x:c r="E107" s="42"/>
      <x:c r="F107" s="105"/>
      <x:c r="G107" s="106"/>
    </x:row>
    <x:row r="108" ht="22" customHeight="1">
      <x:c r="A108" s="92" t="str"/>
      <x:c r="B108" s="94" t="str">
        <x:f>IFERROR(INDEX(Employees!$A$2:$A$500,MATCH(A108,Employees!$B$2:$B$500,0)),"")</x:f>
      </x:c>
      <x:c r="C108" s="45"/>
      <x:c r="D108" s="43" t="str">
        <x:f>IFERROR(VLOOKUP(C108,Employees!$A$2:$B$500,2,FALSE),"")</x:f>
      </x:c>
      <x:c r="E108" s="42"/>
      <x:c r="F108" s="105"/>
      <x:c r="G108" s="106"/>
    </x:row>
    <x:row r="109" ht="22" customHeight="1">
      <x:c r="A109" s="92" t="str"/>
      <x:c r="B109" s="94" t="str">
        <x:f>IFERROR(INDEX(Employees!$A$2:$A$500,MATCH(A109,Employees!$B$2:$B$500,0)),"")</x:f>
      </x:c>
      <x:c r="C109" s="45"/>
      <x:c r="D109" s="43" t="str">
        <x:f>IFERROR(VLOOKUP(C109,Employees!$A$2:$B$500,2,FALSE),"")</x:f>
      </x:c>
      <x:c r="E109" s="42"/>
      <x:c r="F109" s="105"/>
      <x:c r="G109" s="106"/>
    </x:row>
    <x:row r="110" ht="22" customHeight="1">
      <x:c r="A110" s="92" t="str"/>
      <x:c r="B110" s="94" t="str">
        <x:f>IFERROR(INDEX(Employees!$A$2:$A$500,MATCH(A110,Employees!$B$2:$B$500,0)),"")</x:f>
      </x:c>
      <x:c r="C110" s="45"/>
      <x:c r="D110" s="43" t="str">
        <x:f>IFERROR(VLOOKUP(C110,Employees!$A$2:$B$500,2,FALSE),"")</x:f>
      </x:c>
      <x:c r="E110" s="42"/>
      <x:c r="F110" s="105"/>
      <x:c r="G110" s="106"/>
    </x:row>
    <x:row r="111" ht="22" customHeight="1">
      <x:c r="A111" s="92" t="str"/>
      <x:c r="B111" s="94" t="str">
        <x:f>IFERROR(INDEX(Employees!$A$2:$A$500,MATCH(A111,Employees!$B$2:$B$500,0)),"")</x:f>
      </x:c>
      <x:c r="C111" s="45"/>
      <x:c r="D111" s="43" t="str">
        <x:f>IFERROR(VLOOKUP(C111,Employees!$A$2:$B$500,2,FALSE),"")</x:f>
      </x:c>
      <x:c r="E111" s="42"/>
      <x:c r="F111" s="105"/>
      <x:c r="G111" s="106"/>
    </x:row>
    <x:row r="112" ht="22" customHeight="1">
      <x:c r="A112" s="92" t="str"/>
      <x:c r="B112" s="94" t="str">
        <x:f>IFERROR(INDEX(Employees!$A$2:$A$500,MATCH(A112,Employees!$B$2:$B$500,0)),"")</x:f>
      </x:c>
      <x:c r="C112" s="45"/>
      <x:c r="D112" s="43" t="str">
        <x:f>IFERROR(VLOOKUP(C112,Employees!$A$2:$B$500,2,FALSE),"")</x:f>
      </x:c>
      <x:c r="E112" s="42"/>
      <x:c r="F112" s="105"/>
      <x:c r="G112" s="106"/>
    </x:row>
    <x:row r="113" ht="22" customHeight="1">
      <x:c r="A113" s="92" t="str"/>
      <x:c r="B113" s="94" t="str">
        <x:f>IFERROR(INDEX(Employees!$A$2:$A$500,MATCH(A113,Employees!$B$2:$B$500,0)),"")</x:f>
      </x:c>
      <x:c r="C113" s="45"/>
      <x:c r="D113" s="43" t="str">
        <x:f>IFERROR(VLOOKUP(C113,Employees!$A$2:$B$500,2,FALSE),"")</x:f>
      </x:c>
      <x:c r="E113" s="42"/>
      <x:c r="F113" s="105"/>
      <x:c r="G113" s="106"/>
    </x:row>
    <x:row r="114" ht="22" customHeight="1">
      <x:c r="A114" s="92" t="str"/>
      <x:c r="B114" s="94" t="str">
        <x:f>IFERROR(INDEX(Employees!$A$2:$A$500,MATCH(A114,Employees!$B$2:$B$500,0)),"")</x:f>
      </x:c>
      <x:c r="C114" s="45"/>
      <x:c r="D114" s="43" t="str">
        <x:f>IFERROR(VLOOKUP(C114,Employees!$A$2:$B$500,2,FALSE),"")</x:f>
      </x:c>
      <x:c r="E114" s="42"/>
      <x:c r="F114" s="105"/>
      <x:c r="G114" s="106"/>
    </x:row>
    <x:row r="115" ht="22" customHeight="1">
      <x:c r="A115" s="92" t="str"/>
      <x:c r="B115" s="94" t="str">
        <x:f>IFERROR(INDEX(Employees!$A$2:$A$500,MATCH(A115,Employees!$B$2:$B$500,0)),"")</x:f>
      </x:c>
      <x:c r="C115" s="45"/>
      <x:c r="D115" s="43" t="str">
        <x:f>IFERROR(VLOOKUP(C115,Employees!$A$2:$B$500,2,FALSE),"")</x:f>
      </x:c>
      <x:c r="E115" s="42"/>
      <x:c r="F115" s="105"/>
      <x:c r="G115" s="106"/>
    </x:row>
    <x:row r="116" ht="22" customHeight="1">
      <x:c r="A116" s="92" t="str"/>
      <x:c r="B116" s="94" t="str">
        <x:f>IFERROR(INDEX(Employees!$A$2:$A$500,MATCH(A116,Employees!$B$2:$B$500,0)),"")</x:f>
      </x:c>
      <x:c r="C116" s="45"/>
      <x:c r="D116" s="43" t="str">
        <x:f>IFERROR(VLOOKUP(C116,Employees!$A$2:$B$500,2,FALSE),"")</x:f>
      </x:c>
      <x:c r="E116" s="42"/>
      <x:c r="F116" s="105"/>
      <x:c r="G116" s="106"/>
    </x:row>
    <x:row r="117" ht="22" customHeight="1">
      <x:c r="A117" s="92" t="str"/>
      <x:c r="B117" s="94" t="str">
        <x:f>IFERROR(INDEX(Employees!$A$2:$A$500,MATCH(A117,Employees!$B$2:$B$500,0)),"")</x:f>
      </x:c>
      <x:c r="C117" s="45"/>
      <x:c r="D117" s="43" t="str">
        <x:f>IFERROR(VLOOKUP(C117,Employees!$A$2:$B$500,2,FALSE),"")</x:f>
      </x:c>
      <x:c r="E117" s="42"/>
      <x:c r="F117" s="105"/>
      <x:c r="G117" s="106"/>
    </x:row>
    <x:row r="118" ht="22" customHeight="1">
      <x:c r="A118" s="92" t="str"/>
      <x:c r="B118" s="94" t="str">
        <x:f>IFERROR(INDEX(Employees!$A$2:$A$500,MATCH(A118,Employees!$B$2:$B$500,0)),"")</x:f>
      </x:c>
      <x:c r="C118" s="45"/>
      <x:c r="D118" s="43" t="str">
        <x:f>IFERROR(VLOOKUP(C118,Employees!$A$2:$B$500,2,FALSE),"")</x:f>
      </x:c>
      <x:c r="E118" s="42"/>
      <x:c r="F118" s="105"/>
      <x:c r="G118" s="106"/>
    </x:row>
    <x:row r="119" ht="22" customHeight="1">
      <x:c r="A119" s="92" t="str"/>
      <x:c r="B119" s="94" t="str">
        <x:f>IFERROR(INDEX(Employees!$A$2:$A$500,MATCH(A119,Employees!$B$2:$B$500,0)),"")</x:f>
      </x:c>
      <x:c r="C119" s="45"/>
      <x:c r="D119" s="43" t="str">
        <x:f>IFERROR(VLOOKUP(C119,Employees!$A$2:$B$500,2,FALSE),"")</x:f>
      </x:c>
      <x:c r="E119" s="42"/>
      <x:c r="F119" s="105"/>
      <x:c r="G119" s="106"/>
    </x:row>
    <x:row r="120" ht="22" customHeight="1">
      <x:c r="A120" s="92" t="str"/>
      <x:c r="B120" s="94" t="str">
        <x:f>IFERROR(INDEX(Employees!$A$2:$A$500,MATCH(A120,Employees!$B$2:$B$500,0)),"")</x:f>
      </x:c>
      <x:c r="C120" s="45"/>
      <x:c r="D120" s="43" t="str">
        <x:f>IFERROR(VLOOKUP(C120,Employees!$A$2:$B$500,2,FALSE),"")</x:f>
      </x:c>
      <x:c r="E120" s="42"/>
      <x:c r="F120" s="105"/>
      <x:c r="G120" s="106"/>
    </x:row>
    <x:row r="121" ht="22" customHeight="1">
      <x:c r="A121" s="92" t="str"/>
      <x:c r="B121" s="94" t="str">
        <x:f>IFERROR(INDEX(Employees!$A$2:$A$500,MATCH(A121,Employees!$B$2:$B$500,0)),"")</x:f>
      </x:c>
      <x:c r="C121" s="45"/>
      <x:c r="D121" s="43" t="str">
        <x:f>IFERROR(VLOOKUP(C121,Employees!$A$2:$B$500,2,FALSE),"")</x:f>
      </x:c>
      <x:c r="E121" s="42"/>
      <x:c r="F121" s="105"/>
      <x:c r="G121" s="106"/>
    </x:row>
    <x:row r="122" ht="22" customHeight="1">
      <x:c r="A122" s="92" t="str"/>
      <x:c r="B122" s="94" t="str">
        <x:f>IFERROR(INDEX(Employees!$A$2:$A$500,MATCH(A122,Employees!$B$2:$B$500,0)),"")</x:f>
      </x:c>
      <x:c r="C122" s="45"/>
      <x:c r="D122" s="43" t="str">
        <x:f>IFERROR(VLOOKUP(C122,Employees!$A$2:$B$500,2,FALSE),"")</x:f>
      </x:c>
      <x:c r="E122" s="42"/>
      <x:c r="F122" s="105"/>
      <x:c r="G122" s="106"/>
    </x:row>
    <x:row r="123" ht="22" customHeight="1">
      <x:c r="A123" s="92" t="str"/>
      <x:c r="B123" s="94" t="str">
        <x:f>IFERROR(INDEX(Employees!$A$2:$A$500,MATCH(A123,Employees!$B$2:$B$500,0)),"")</x:f>
      </x:c>
      <x:c r="C123" s="45"/>
      <x:c r="D123" s="43" t="str">
        <x:f>IFERROR(VLOOKUP(C123,Employees!$A$2:$B$500,2,FALSE),"")</x:f>
      </x:c>
      <x:c r="E123" s="42"/>
      <x:c r="F123" s="105"/>
      <x:c r="G123" s="106"/>
    </x:row>
    <x:row r="124" ht="22" customHeight="1">
      <x:c r="A124" s="92" t="str"/>
      <x:c r="B124" s="94" t="str">
        <x:f>IFERROR(INDEX(Employees!$A$2:$A$500,MATCH(A124,Employees!$B$2:$B$500,0)),"")</x:f>
      </x:c>
      <x:c r="C124" s="45"/>
      <x:c r="D124" s="43" t="str">
        <x:f>IFERROR(VLOOKUP(C124,Employees!$A$2:$B$500,2,FALSE),"")</x:f>
      </x:c>
      <x:c r="E124" s="42"/>
      <x:c r="F124" s="105"/>
      <x:c r="G124" s="106"/>
    </x:row>
    <x:row r="125" ht="22" customHeight="1">
      <x:c r="A125" s="92" t="str"/>
      <x:c r="B125" s="94" t="str">
        <x:f>IFERROR(INDEX(Employees!$A$2:$A$500,MATCH(A125,Employees!$B$2:$B$500,0)),"")</x:f>
      </x:c>
      <x:c r="C125" s="45"/>
      <x:c r="D125" s="43" t="str">
        <x:f>IFERROR(VLOOKUP(C125,Employees!$A$2:$B$500,2,FALSE),"")</x:f>
      </x:c>
      <x:c r="E125" s="42"/>
      <x:c r="F125" s="105"/>
      <x:c r="G125" s="106"/>
    </x:row>
    <x:row r="126" ht="22" customHeight="1">
      <x:c r="A126" s="92" t="str"/>
      <x:c r="B126" s="94" t="str">
        <x:f>IFERROR(INDEX(Employees!$A$2:$A$500,MATCH(A126,Employees!$B$2:$B$500,0)),"")</x:f>
      </x:c>
      <x:c r="C126" s="45"/>
      <x:c r="D126" s="43" t="str">
        <x:f>IFERROR(VLOOKUP(C126,Employees!$A$2:$B$500,2,FALSE),"")</x:f>
      </x:c>
      <x:c r="E126" s="42"/>
      <x:c r="F126" s="105"/>
      <x:c r="G126" s="106"/>
    </x:row>
    <x:row r="127" ht="22" customHeight="1">
      <x:c r="A127" s="92" t="str"/>
      <x:c r="B127" s="94" t="str">
        <x:f>IFERROR(INDEX(Employees!$A$2:$A$500,MATCH(A127,Employees!$B$2:$B$500,0)),"")</x:f>
      </x:c>
      <x:c r="C127" s="45"/>
      <x:c r="D127" s="43" t="str">
        <x:f>IFERROR(VLOOKUP(C127,Employees!$A$2:$B$500,2,FALSE),"")</x:f>
      </x:c>
      <x:c r="E127" s="42"/>
      <x:c r="F127" s="105"/>
      <x:c r="G127" s="106"/>
    </x:row>
    <x:row r="128" ht="22" customHeight="1">
      <x:c r="A128" s="92" t="str"/>
      <x:c r="B128" s="94" t="str">
        <x:f>IFERROR(INDEX(Employees!$A$2:$A$500,MATCH(A128,Employees!$B$2:$B$500,0)),"")</x:f>
      </x:c>
      <x:c r="C128" s="45"/>
      <x:c r="D128" s="43" t="str">
        <x:f>IFERROR(VLOOKUP(C128,Employees!$A$2:$B$500,2,FALSE),"")</x:f>
      </x:c>
      <x:c r="E128" s="42"/>
      <x:c r="F128" s="105"/>
      <x:c r="G128" s="106"/>
    </x:row>
    <x:row r="129" ht="22" customHeight="1">
      <x:c r="A129" s="92" t="str"/>
      <x:c r="B129" s="94" t="str">
        <x:f>IFERROR(INDEX(Employees!$A$2:$A$500,MATCH(A129,Employees!$B$2:$B$500,0)),"")</x:f>
      </x:c>
      <x:c r="C129" s="45"/>
      <x:c r="D129" s="43" t="str">
        <x:f>IFERROR(VLOOKUP(C129,Employees!$A$2:$B$500,2,FALSE),"")</x:f>
      </x:c>
      <x:c r="E129" s="42"/>
      <x:c r="F129" s="105"/>
      <x:c r="G129" s="106"/>
    </x:row>
    <x:row r="130" ht="22" customHeight="1">
      <x:c r="A130" s="92" t="str"/>
      <x:c r="B130" s="94" t="str">
        <x:f>IFERROR(INDEX(Employees!$A$2:$A$500,MATCH(A130,Employees!$B$2:$B$500,0)),"")</x:f>
      </x:c>
      <x:c r="C130" s="45"/>
      <x:c r="D130" s="43" t="str">
        <x:f>IFERROR(VLOOKUP(C130,Employees!$A$2:$B$500,2,FALSE),"")</x:f>
      </x:c>
      <x:c r="E130" s="42"/>
      <x:c r="F130" s="105"/>
      <x:c r="G130" s="106"/>
    </x:row>
    <x:row r="131" ht="22" customHeight="1">
      <x:c r="A131" s="92" t="str"/>
      <x:c r="B131" s="94" t="str">
        <x:f>IFERROR(INDEX(Employees!$A$2:$A$500,MATCH(A131,Employees!$B$2:$B$500,0)),"")</x:f>
      </x:c>
      <x:c r="C131" s="45"/>
      <x:c r="D131" s="43" t="str">
        <x:f>IFERROR(VLOOKUP(C131,Employees!$A$2:$B$500,2,FALSE),"")</x:f>
      </x:c>
      <x:c r="E131" s="42"/>
      <x:c r="F131" s="105"/>
      <x:c r="G131" s="106"/>
    </x:row>
    <x:row r="132" ht="22" customHeight="1">
      <x:c r="A132" s="92" t="str"/>
      <x:c r="B132" s="94" t="str">
        <x:f>IFERROR(INDEX(Employees!$A$2:$A$500,MATCH(A132,Employees!$B$2:$B$500,0)),"")</x:f>
      </x:c>
      <x:c r="C132" s="45"/>
      <x:c r="D132" s="43" t="str">
        <x:f>IFERROR(VLOOKUP(C132,Employees!$A$2:$B$500,2,FALSE),"")</x:f>
      </x:c>
      <x:c r="E132" s="42"/>
      <x:c r="F132" s="105"/>
      <x:c r="G132" s="106"/>
    </x:row>
    <x:row r="133" ht="22" customHeight="1">
      <x:c r="A133" s="92" t="str"/>
      <x:c r="B133" s="94" t="str">
        <x:f>IFERROR(INDEX(Employees!$A$2:$A$500,MATCH(A133,Employees!$B$2:$B$500,0)),"")</x:f>
      </x:c>
      <x:c r="C133" s="45"/>
      <x:c r="D133" s="43" t="str">
        <x:f>IFERROR(VLOOKUP(C133,Employees!$A$2:$B$500,2,FALSE),"")</x:f>
      </x:c>
      <x:c r="E133" s="42"/>
      <x:c r="F133" s="105"/>
      <x:c r="G133" s="106"/>
    </x:row>
    <x:row r="134" ht="22" customHeight="1">
      <x:c r="A134" s="92" t="str"/>
      <x:c r="B134" s="94" t="str">
        <x:f>IFERROR(INDEX(Employees!$A$2:$A$500,MATCH(A134,Employees!$B$2:$B$500,0)),"")</x:f>
      </x:c>
      <x:c r="C134" s="45"/>
      <x:c r="D134" s="43" t="str">
        <x:f>IFERROR(VLOOKUP(C134,Employees!$A$2:$B$500,2,FALSE),"")</x:f>
      </x:c>
      <x:c r="E134" s="42"/>
      <x:c r="F134" s="105"/>
      <x:c r="G134" s="106"/>
    </x:row>
    <x:row r="135" ht="22" customHeight="1">
      <x:c r="A135" s="92" t="str"/>
      <x:c r="B135" s="94" t="str">
        <x:f>IFERROR(INDEX(Employees!$A$2:$A$500,MATCH(A135,Employees!$B$2:$B$500,0)),"")</x:f>
      </x:c>
      <x:c r="C135" s="45"/>
      <x:c r="D135" s="43" t="str">
        <x:f>IFERROR(VLOOKUP(C135,Employees!$A$2:$B$500,2,FALSE),"")</x:f>
      </x:c>
      <x:c r="E135" s="42"/>
      <x:c r="F135" s="105"/>
      <x:c r="G135" s="106"/>
    </x:row>
    <x:row r="136" ht="22" customHeight="1">
      <x:c r="A136" s="92" t="str"/>
      <x:c r="B136" s="94" t="str">
        <x:f>IFERROR(INDEX(Employees!$A$2:$A$500,MATCH(A136,Employees!$B$2:$B$500,0)),"")</x:f>
      </x:c>
      <x:c r="C136" s="45"/>
      <x:c r="D136" s="43" t="str">
        <x:f>IFERROR(VLOOKUP(C136,Employees!$A$2:$B$500,2,FALSE),"")</x:f>
      </x:c>
      <x:c r="E136" s="42"/>
      <x:c r="F136" s="105"/>
      <x:c r="G136" s="106"/>
    </x:row>
    <x:row r="137" ht="22" customHeight="1">
      <x:c r="A137" s="92" t="str"/>
      <x:c r="B137" s="94" t="str">
        <x:f>IFERROR(INDEX(Employees!$A$2:$A$500,MATCH(A137,Employees!$B$2:$B$500,0)),"")</x:f>
      </x:c>
      <x:c r="C137" s="45"/>
      <x:c r="D137" s="43" t="str">
        <x:f>IFERROR(VLOOKUP(C137,Employees!$A$2:$B$500,2,FALSE),"")</x:f>
      </x:c>
      <x:c r="E137" s="42"/>
      <x:c r="F137" s="105"/>
      <x:c r="G137" s="106"/>
    </x:row>
    <x:row r="138" ht="22" customHeight="1">
      <x:c r="A138" s="92" t="str"/>
      <x:c r="B138" s="94" t="str">
        <x:f>IFERROR(INDEX(Employees!$A$2:$A$500,MATCH(A138,Employees!$B$2:$B$500,0)),"")</x:f>
      </x:c>
      <x:c r="C138" s="45"/>
      <x:c r="D138" s="43" t="str">
        <x:f>IFERROR(VLOOKUP(C138,Employees!$A$2:$B$500,2,FALSE),"")</x:f>
      </x:c>
      <x:c r="E138" s="42"/>
      <x:c r="F138" s="105"/>
      <x:c r="G138" s="106"/>
    </x:row>
    <x:row r="139" ht="22" customHeight="1">
      <x:c r="A139" s="92" t="str"/>
      <x:c r="B139" s="94" t="str">
        <x:f>IFERROR(INDEX(Employees!$A$2:$A$500,MATCH(A139,Employees!$B$2:$B$500,0)),"")</x:f>
      </x:c>
      <x:c r="C139" s="45"/>
      <x:c r="D139" s="43" t="str">
        <x:f>IFERROR(VLOOKUP(C139,Employees!$A$2:$B$500,2,FALSE),"")</x:f>
      </x:c>
      <x:c r="E139" s="42"/>
      <x:c r="F139" s="105"/>
      <x:c r="G139" s="106"/>
    </x:row>
    <x:row r="140" ht="22" customHeight="1">
      <x:c r="A140" s="92" t="str"/>
      <x:c r="B140" s="94" t="str">
        <x:f>IFERROR(INDEX(Employees!$A$2:$A$500,MATCH(A140,Employees!$B$2:$B$500,0)),"")</x:f>
      </x:c>
      <x:c r="C140" s="45"/>
      <x:c r="D140" s="43" t="str">
        <x:f>IFERROR(VLOOKUP(C140,Employees!$A$2:$B$500,2,FALSE),"")</x:f>
      </x:c>
      <x:c r="E140" s="42"/>
      <x:c r="F140" s="105"/>
      <x:c r="G140" s="106"/>
    </x:row>
    <x:row r="141" ht="22" customHeight="1">
      <x:c r="A141" s="92" t="str"/>
      <x:c r="B141" s="94" t="str">
        <x:f>IFERROR(INDEX(Employees!$A$2:$A$500,MATCH(A141,Employees!$B$2:$B$500,0)),"")</x:f>
      </x:c>
      <x:c r="C141" s="45"/>
      <x:c r="D141" s="43" t="str">
        <x:f>IFERROR(VLOOKUP(C141,Employees!$A$2:$B$500,2,FALSE),"")</x:f>
      </x:c>
      <x:c r="E141" s="42"/>
      <x:c r="F141" s="105"/>
      <x:c r="G141" s="106"/>
    </x:row>
    <x:row r="142" ht="22" customHeight="1">
      <x:c r="A142" s="92" t="str"/>
      <x:c r="B142" s="94" t="str">
        <x:f>IFERROR(INDEX(Employees!$A$2:$A$500,MATCH(A142,Employees!$B$2:$B$500,0)),"")</x:f>
      </x:c>
      <x:c r="C142" s="45"/>
      <x:c r="D142" s="43" t="str">
        <x:f>IFERROR(VLOOKUP(C142,Employees!$A$2:$B$500,2,FALSE),"")</x:f>
      </x:c>
      <x:c r="E142" s="42"/>
      <x:c r="F142" s="105"/>
      <x:c r="G142" s="106"/>
    </x:row>
    <x:row r="143" ht="22" customHeight="1">
      <x:c r="A143" s="92" t="str"/>
      <x:c r="B143" s="94" t="str">
        <x:f>IFERROR(INDEX(Employees!$A$2:$A$500,MATCH(A143,Employees!$B$2:$B$500,0)),"")</x:f>
      </x:c>
      <x:c r="C143" s="45"/>
      <x:c r="D143" s="43" t="str">
        <x:f>IFERROR(VLOOKUP(C143,Employees!$A$2:$B$500,2,FALSE),"")</x:f>
      </x:c>
      <x:c r="E143" s="42"/>
      <x:c r="F143" s="105"/>
      <x:c r="G143" s="106"/>
    </x:row>
    <x:row r="144" ht="22" customHeight="1">
      <x:c r="A144" s="92" t="str"/>
      <x:c r="B144" s="94" t="str">
        <x:f>IFERROR(INDEX(Employees!$A$2:$A$500,MATCH(A144,Employees!$B$2:$B$500,0)),"")</x:f>
      </x:c>
      <x:c r="C144" s="45"/>
      <x:c r="D144" s="43" t="str">
        <x:f>IFERROR(VLOOKUP(C144,Employees!$A$2:$B$500,2,FALSE),"")</x:f>
      </x:c>
      <x:c r="E144" s="42"/>
      <x:c r="F144" s="105"/>
      <x:c r="G144" s="106"/>
    </x:row>
    <x:row r="145" ht="22" customHeight="1">
      <x:c r="A145" s="92" t="str"/>
      <x:c r="B145" s="94" t="str">
        <x:f>IFERROR(INDEX(Employees!$A$2:$A$500,MATCH(A145,Employees!$B$2:$B$500,0)),"")</x:f>
      </x:c>
      <x:c r="C145" s="45"/>
      <x:c r="D145" s="43" t="str">
        <x:f>IFERROR(VLOOKUP(C145,Employees!$A$2:$B$500,2,FALSE),"")</x:f>
      </x:c>
      <x:c r="E145" s="42"/>
      <x:c r="F145" s="105"/>
      <x:c r="G145" s="106"/>
    </x:row>
    <x:row r="146" ht="22" customHeight="1">
      <x:c r="A146" s="92" t="str"/>
      <x:c r="B146" s="94" t="str">
        <x:f>IFERROR(INDEX(Employees!$A$2:$A$500,MATCH(A146,Employees!$B$2:$B$500,0)),"")</x:f>
      </x:c>
      <x:c r="C146" s="45"/>
      <x:c r="D146" s="43" t="str">
        <x:f>IFERROR(VLOOKUP(C146,Employees!$A$2:$B$500,2,FALSE),"")</x:f>
      </x:c>
      <x:c r="E146" s="42"/>
      <x:c r="F146" s="105"/>
      <x:c r="G146" s="106"/>
    </x:row>
    <x:row r="147" ht="22" customHeight="1">
      <x:c r="A147" s="92" t="str"/>
      <x:c r="B147" s="94" t="str">
        <x:f>IFERROR(INDEX(Employees!$A$2:$A$500,MATCH(A147,Employees!$B$2:$B$500,0)),"")</x:f>
      </x:c>
      <x:c r="C147" s="45"/>
      <x:c r="D147" s="43" t="str">
        <x:f>IFERROR(VLOOKUP(C147,Employees!$A$2:$B$500,2,FALSE),"")</x:f>
      </x:c>
      <x:c r="E147" s="42"/>
      <x:c r="F147" s="105"/>
      <x:c r="G147" s="106"/>
    </x:row>
    <x:row r="148" ht="22" customHeight="1">
      <x:c r="A148" s="92" t="str"/>
      <x:c r="B148" s="94" t="str">
        <x:f>IFERROR(INDEX(Employees!$A$2:$A$500,MATCH(A148,Employees!$B$2:$B$500,0)),"")</x:f>
      </x:c>
      <x:c r="C148" s="45"/>
      <x:c r="D148" s="43" t="str">
        <x:f>IFERROR(VLOOKUP(C148,Employees!$A$2:$B$500,2,FALSE),"")</x:f>
      </x:c>
      <x:c r="E148" s="42"/>
      <x:c r="F148" s="105"/>
      <x:c r="G148" s="106"/>
    </x:row>
    <x:row r="149" ht="22" customHeight="1">
      <x:c r="A149" s="92" t="str"/>
      <x:c r="B149" s="94" t="str">
        <x:f>IFERROR(INDEX(Employees!$A$2:$A$500,MATCH(A149,Employees!$B$2:$B$500,0)),"")</x:f>
      </x:c>
      <x:c r="C149" s="45"/>
      <x:c r="D149" s="43" t="str">
        <x:f>IFERROR(VLOOKUP(C149,Employees!$A$2:$B$500,2,FALSE),"")</x:f>
      </x:c>
      <x:c r="E149" s="42"/>
      <x:c r="F149" s="105"/>
      <x:c r="G149" s="106"/>
    </x:row>
    <x:row r="150" ht="22" customHeight="1">
      <x:c r="A150" s="92" t="str"/>
      <x:c r="B150" s="94" t="str">
        <x:f>IFERROR(INDEX(Employees!$A$2:$A$500,MATCH(A150,Employees!$B$2:$B$500,0)),"")</x:f>
      </x:c>
      <x:c r="C150" s="45"/>
      <x:c r="D150" s="43" t="str">
        <x:f>IFERROR(VLOOKUP(C150,Employees!$A$2:$B$500,2,FALSE),"")</x:f>
      </x:c>
      <x:c r="E150" s="42"/>
      <x:c r="F150" s="105"/>
      <x:c r="G150" s="106"/>
    </x:row>
    <x:row r="151" ht="22" customHeight="1">
      <x:c r="A151" s="92" t="str"/>
      <x:c r="B151" s="94" t="str">
        <x:f>IFERROR(INDEX(Employees!$A$2:$A$500,MATCH(A151,Employees!$B$2:$B$500,0)),"")</x:f>
      </x:c>
      <x:c r="C151" s="45"/>
      <x:c r="D151" s="43" t="str">
        <x:f>IFERROR(VLOOKUP(C151,Employees!$A$2:$B$500,2,FALSE),"")</x:f>
      </x:c>
      <x:c r="E151" s="42"/>
      <x:c r="F151" s="105"/>
      <x:c r="G151" s="106"/>
    </x:row>
    <x:row r="152" ht="22" customHeight="1">
      <x:c r="A152" s="92" t="str"/>
      <x:c r="B152" s="94" t="str">
        <x:f>IFERROR(INDEX(Employees!$A$2:$A$500,MATCH(A152,Employees!$B$2:$B$500,0)),"")</x:f>
      </x:c>
      <x:c r="C152" s="45"/>
      <x:c r="D152" s="43" t="str">
        <x:f>IFERROR(VLOOKUP(C152,Employees!$A$2:$B$500,2,FALSE),"")</x:f>
      </x:c>
      <x:c r="E152" s="42"/>
      <x:c r="F152" s="105"/>
      <x:c r="G152" s="106"/>
    </x:row>
    <x:row r="153" ht="22" customHeight="1">
      <x:c r="A153" s="92" t="str"/>
      <x:c r="B153" s="94" t="str">
        <x:f>IFERROR(INDEX(Employees!$A$2:$A$500,MATCH(A153,Employees!$B$2:$B$500,0)),"")</x:f>
      </x:c>
      <x:c r="C153" s="45"/>
      <x:c r="D153" s="43" t="str">
        <x:f>IFERROR(VLOOKUP(C153,Employees!$A$2:$B$500,2,FALSE),"")</x:f>
      </x:c>
      <x:c r="E153" s="42"/>
      <x:c r="F153" s="105"/>
      <x:c r="G153" s="106"/>
    </x:row>
    <x:row r="154" ht="22" customHeight="1">
      <x:c r="A154" s="92" t="str"/>
      <x:c r="B154" s="94" t="str">
        <x:f>IFERROR(INDEX(Employees!$A$2:$A$500,MATCH(A154,Employees!$B$2:$B$500,0)),"")</x:f>
      </x:c>
      <x:c r="C154" s="45"/>
      <x:c r="D154" s="43" t="str">
        <x:f>IFERROR(VLOOKUP(C154,Employees!$A$2:$B$500,2,FALSE),"")</x:f>
      </x:c>
      <x:c r="E154" s="42"/>
      <x:c r="F154" s="105"/>
      <x:c r="G154" s="106"/>
    </x:row>
    <x:row r="155" ht="22" customHeight="1">
      <x:c r="A155" s="92" t="str"/>
      <x:c r="B155" s="94" t="str">
        <x:f>IFERROR(INDEX(Employees!$A$2:$A$500,MATCH(A155,Employees!$B$2:$B$500,0)),"")</x:f>
      </x:c>
      <x:c r="C155" s="45"/>
      <x:c r="D155" s="43" t="str">
        <x:f>IFERROR(VLOOKUP(C155,Employees!$A$2:$B$500,2,FALSE),"")</x:f>
      </x:c>
      <x:c r="E155" s="42"/>
      <x:c r="F155" s="105"/>
      <x:c r="G155" s="106"/>
    </x:row>
    <x:row r="156" ht="22" customHeight="1">
      <x:c r="A156" s="92" t="str"/>
      <x:c r="B156" s="94" t="str">
        <x:f>IFERROR(INDEX(Employees!$A$2:$A$500,MATCH(A156,Employees!$B$2:$B$500,0)),"")</x:f>
      </x:c>
      <x:c r="C156" s="45"/>
      <x:c r="D156" s="43" t="str">
        <x:f>IFERROR(VLOOKUP(C156,Employees!$A$2:$B$500,2,FALSE),"")</x:f>
      </x:c>
      <x:c r="E156" s="42"/>
      <x:c r="F156" s="105"/>
      <x:c r="G156" s="106"/>
    </x:row>
    <x:row r="157" ht="22" customHeight="1">
      <x:c r="A157" s="92" t="str"/>
      <x:c r="B157" s="94" t="str">
        <x:f>IFERROR(INDEX(Employees!$A$2:$A$500,MATCH(A157,Employees!$B$2:$B$500,0)),"")</x:f>
      </x:c>
      <x:c r="C157" s="45"/>
      <x:c r="D157" s="43" t="str">
        <x:f>IFERROR(VLOOKUP(C157,Employees!$A$2:$B$500,2,FALSE),"")</x:f>
      </x:c>
      <x:c r="E157" s="42"/>
      <x:c r="F157" s="105"/>
      <x:c r="G157" s="106"/>
    </x:row>
    <x:row r="158" ht="22" customHeight="1">
      <x:c r="A158" s="92" t="str"/>
      <x:c r="B158" s="94" t="str">
        <x:f>IFERROR(INDEX(Employees!$A$2:$A$500,MATCH(A158,Employees!$B$2:$B$500,0)),"")</x:f>
      </x:c>
      <x:c r="C158" s="45"/>
      <x:c r="D158" s="43" t="str">
        <x:f>IFERROR(VLOOKUP(C158,Employees!$A$2:$B$500,2,FALSE),"")</x:f>
      </x:c>
      <x:c r="E158" s="42"/>
      <x:c r="F158" s="105"/>
      <x:c r="G158" s="106"/>
    </x:row>
    <x:row r="159" ht="22" customHeight="1">
      <x:c r="A159" s="92" t="str"/>
      <x:c r="B159" s="94" t="str">
        <x:f>IFERROR(INDEX(Employees!$A$2:$A$500,MATCH(A159,Employees!$B$2:$B$500,0)),"")</x:f>
      </x:c>
      <x:c r="C159" s="45"/>
      <x:c r="D159" s="43" t="str">
        <x:f>IFERROR(VLOOKUP(C159,Employees!$A$2:$B$500,2,FALSE),"")</x:f>
      </x:c>
      <x:c r="E159" s="42"/>
      <x:c r="F159" s="105"/>
      <x:c r="G159" s="106"/>
    </x:row>
    <x:row r="160" ht="22" customHeight="1">
      <x:c r="A160" s="92" t="str"/>
      <x:c r="B160" s="94" t="str">
        <x:f>IFERROR(INDEX(Employees!$A$2:$A$500,MATCH(A160,Employees!$B$2:$B$500,0)),"")</x:f>
      </x:c>
      <x:c r="C160" s="45"/>
      <x:c r="D160" s="43" t="str">
        <x:f>IFERROR(VLOOKUP(C160,Employees!$A$2:$B$500,2,FALSE),"")</x:f>
      </x:c>
      <x:c r="E160" s="42"/>
      <x:c r="F160" s="105"/>
      <x:c r="G160" s="106"/>
    </x:row>
    <x:row r="161" ht="22" customHeight="1">
      <x:c r="A161" s="92" t="str"/>
      <x:c r="B161" s="94" t="str">
        <x:f>IFERROR(INDEX(Employees!$A$2:$A$500,MATCH(A161,Employees!$B$2:$B$500,0)),"")</x:f>
      </x:c>
      <x:c r="C161" s="45"/>
      <x:c r="D161" s="43" t="str">
        <x:f>IFERROR(VLOOKUP(C161,Employees!$A$2:$B$500,2,FALSE),"")</x:f>
      </x:c>
      <x:c r="E161" s="42"/>
      <x:c r="F161" s="105"/>
      <x:c r="G161" s="106"/>
    </x:row>
    <x:row r="162" ht="22" customHeight="1">
      <x:c r="A162" s="92" t="str"/>
      <x:c r="B162" s="94" t="str">
        <x:f>IFERROR(INDEX(Employees!$A$2:$A$500,MATCH(A162,Employees!$B$2:$B$500,0)),"")</x:f>
      </x:c>
      <x:c r="C162" s="45"/>
      <x:c r="D162" s="43" t="str">
        <x:f>IFERROR(VLOOKUP(C162,Employees!$A$2:$B$500,2,FALSE),"")</x:f>
      </x:c>
      <x:c r="E162" s="42"/>
      <x:c r="F162" s="105"/>
      <x:c r="G162" s="106"/>
    </x:row>
    <x:row r="163" ht="22" customHeight="1">
      <x:c r="A163" s="92" t="str"/>
      <x:c r="B163" s="94" t="str">
        <x:f>IFERROR(INDEX(Employees!$A$2:$A$500,MATCH(A163,Employees!$B$2:$B$500,0)),"")</x:f>
      </x:c>
      <x:c r="C163" s="45"/>
      <x:c r="D163" s="43" t="str">
        <x:f>IFERROR(VLOOKUP(C163,Employees!$A$2:$B$500,2,FALSE),"")</x:f>
      </x:c>
      <x:c r="E163" s="42"/>
      <x:c r="F163" s="105"/>
      <x:c r="G163" s="106"/>
    </x:row>
    <x:row r="164" ht="22" customHeight="1">
      <x:c r="A164" s="92" t="str"/>
      <x:c r="B164" s="94" t="str">
        <x:f>IFERROR(INDEX(Employees!$A$2:$A$500,MATCH(A164,Employees!$B$2:$B$500,0)),"")</x:f>
      </x:c>
      <x:c r="C164" s="45"/>
      <x:c r="D164" s="43" t="str">
        <x:f>IFERROR(VLOOKUP(C164,Employees!$A$2:$B$500,2,FALSE),"")</x:f>
      </x:c>
      <x:c r="E164" s="42"/>
      <x:c r="F164" s="105"/>
      <x:c r="G164" s="106"/>
    </x:row>
    <x:row r="165" ht="22" customHeight="1">
      <x:c r="A165" s="92" t="str"/>
      <x:c r="B165" s="94" t="str">
        <x:f>IFERROR(INDEX(Employees!$A$2:$A$500,MATCH(A165,Employees!$B$2:$B$500,0)),"")</x:f>
      </x:c>
      <x:c r="C165" s="45"/>
      <x:c r="D165" s="43" t="str">
        <x:f>IFERROR(VLOOKUP(C165,Employees!$A$2:$B$500,2,FALSE),"")</x:f>
      </x:c>
      <x:c r="E165" s="42"/>
      <x:c r="F165" s="105"/>
      <x:c r="G165" s="106"/>
    </x:row>
    <x:row r="166" ht="22" customHeight="1">
      <x:c r="A166" s="92" t="str"/>
      <x:c r="B166" s="94" t="str">
        <x:f>IFERROR(INDEX(Employees!$A$2:$A$500,MATCH(A166,Employees!$B$2:$B$500,0)),"")</x:f>
      </x:c>
      <x:c r="C166" s="45"/>
      <x:c r="D166" s="43" t="str">
        <x:f>IFERROR(VLOOKUP(C166,Employees!$A$2:$B$500,2,FALSE),"")</x:f>
      </x:c>
      <x:c r="E166" s="42"/>
      <x:c r="F166" s="105"/>
      <x:c r="G166" s="106"/>
    </x:row>
    <x:row r="167" ht="22" customHeight="1">
      <x:c r="A167" s="92" t="str"/>
      <x:c r="B167" s="94" t="str">
        <x:f>IFERROR(INDEX(Employees!$A$2:$A$500,MATCH(A167,Employees!$B$2:$B$500,0)),"")</x:f>
      </x:c>
      <x:c r="C167" s="45"/>
      <x:c r="D167" s="43" t="str">
        <x:f>IFERROR(VLOOKUP(C167,Employees!$A$2:$B$500,2,FALSE),"")</x:f>
      </x:c>
      <x:c r="E167" s="42"/>
      <x:c r="F167" s="105"/>
      <x:c r="G167" s="106"/>
    </x:row>
    <x:row r="168" ht="22" customHeight="1">
      <x:c r="A168" s="92" t="str"/>
      <x:c r="B168" s="94" t="str">
        <x:f>IFERROR(INDEX(Employees!$A$2:$A$500,MATCH(A168,Employees!$B$2:$B$500,0)),"")</x:f>
      </x:c>
      <x:c r="C168" s="45"/>
      <x:c r="D168" s="43" t="str">
        <x:f>IFERROR(VLOOKUP(C168,Employees!$A$2:$B$500,2,FALSE),"")</x:f>
      </x:c>
      <x:c r="E168" s="42"/>
      <x:c r="F168" s="105"/>
      <x:c r="G168" s="106"/>
    </x:row>
    <x:row r="169" ht="22" customHeight="1">
      <x:c r="A169" s="92" t="str"/>
      <x:c r="B169" s="94" t="str">
        <x:f>IFERROR(INDEX(Employees!$A$2:$A$500,MATCH(A169,Employees!$B$2:$B$500,0)),"")</x:f>
      </x:c>
      <x:c r="C169" s="45"/>
      <x:c r="D169" s="43" t="str">
        <x:f>IFERROR(VLOOKUP(C169,Employees!$A$2:$B$500,2,FALSE),"")</x:f>
      </x:c>
      <x:c r="E169" s="42"/>
      <x:c r="F169" s="105"/>
      <x:c r="G169" s="106"/>
    </x:row>
    <x:row r="170" ht="22" customHeight="1">
      <x:c r="A170" s="92" t="str"/>
      <x:c r="B170" s="94" t="str">
        <x:f>IFERROR(INDEX(Employees!$A$2:$A$500,MATCH(A170,Employees!$B$2:$B$500,0)),"")</x:f>
      </x:c>
      <x:c r="C170" s="45"/>
      <x:c r="D170" s="43" t="str">
        <x:f>IFERROR(VLOOKUP(C170,Employees!$A$2:$B$500,2,FALSE),"")</x:f>
      </x:c>
      <x:c r="E170" s="42"/>
      <x:c r="F170" s="105"/>
      <x:c r="G170" s="106"/>
    </x:row>
    <x:row r="171" ht="22" customHeight="1">
      <x:c r="A171" s="92" t="str"/>
      <x:c r="B171" s="94" t="str">
        <x:f>IFERROR(INDEX(Employees!$A$2:$A$500,MATCH(A171,Employees!$B$2:$B$500,0)),"")</x:f>
      </x:c>
      <x:c r="C171" s="45"/>
      <x:c r="D171" s="43" t="str">
        <x:f>IFERROR(VLOOKUP(C171,Employees!$A$2:$B$500,2,FALSE),"")</x:f>
      </x:c>
      <x:c r="E171" s="42"/>
      <x:c r="F171" s="105"/>
      <x:c r="G171" s="106"/>
    </x:row>
    <x:row r="172" ht="22" customHeight="1">
      <x:c r="A172" s="92" t="str"/>
      <x:c r="B172" s="94" t="str">
        <x:f>IFERROR(INDEX(Employees!$A$2:$A$500,MATCH(A172,Employees!$B$2:$B$500,0)),"")</x:f>
      </x:c>
      <x:c r="C172" s="45"/>
      <x:c r="D172" s="43" t="str">
        <x:f>IFERROR(VLOOKUP(C172,Employees!$A$2:$B$500,2,FALSE),"")</x:f>
      </x:c>
      <x:c r="E172" s="42"/>
      <x:c r="F172" s="105"/>
      <x:c r="G172" s="106"/>
    </x:row>
    <x:row r="173" ht="22" customHeight="1">
      <x:c r="A173" s="92" t="str"/>
      <x:c r="B173" s="94" t="str">
        <x:f>IFERROR(INDEX(Employees!$A$2:$A$500,MATCH(A173,Employees!$B$2:$B$500,0)),"")</x:f>
      </x:c>
      <x:c r="C173" s="45"/>
      <x:c r="D173" s="43" t="str">
        <x:f>IFERROR(VLOOKUP(C173,Employees!$A$2:$B$500,2,FALSE),"")</x:f>
      </x:c>
      <x:c r="E173" s="42"/>
      <x:c r="F173" s="105"/>
      <x:c r="G173" s="106"/>
    </x:row>
    <x:row r="174" ht="22" customHeight="1">
      <x:c r="A174" s="92" t="str"/>
      <x:c r="B174" s="94" t="str">
        <x:f>IFERROR(INDEX(Employees!$A$2:$A$500,MATCH(A174,Employees!$B$2:$B$500,0)),"")</x:f>
      </x:c>
      <x:c r="C174" s="45"/>
      <x:c r="D174" s="43" t="str">
        <x:f>IFERROR(VLOOKUP(C174,Employees!$A$2:$B$500,2,FALSE),"")</x:f>
      </x:c>
      <x:c r="E174" s="42"/>
      <x:c r="F174" s="105"/>
      <x:c r="G174" s="106"/>
    </x:row>
    <x:row r="175" ht="22" customHeight="1">
      <x:c r="A175" s="92" t="str"/>
      <x:c r="B175" s="94" t="str">
        <x:f>IFERROR(INDEX(Employees!$A$2:$A$500,MATCH(A175,Employees!$B$2:$B$500,0)),"")</x:f>
      </x:c>
      <x:c r="C175" s="45"/>
      <x:c r="D175" s="43" t="str">
        <x:f>IFERROR(VLOOKUP(C175,Employees!$A$2:$B$500,2,FALSE),"")</x:f>
      </x:c>
      <x:c r="E175" s="42"/>
      <x:c r="F175" s="105"/>
      <x:c r="G175" s="106"/>
    </x:row>
    <x:row r="176" ht="22" customHeight="1">
      <x:c r="A176" s="92" t="str"/>
      <x:c r="B176" s="94" t="str">
        <x:f>IFERROR(INDEX(Employees!$A$2:$A$500,MATCH(A176,Employees!$B$2:$B$500,0)),"")</x:f>
      </x:c>
      <x:c r="C176" s="45"/>
      <x:c r="D176" s="43" t="str">
        <x:f>IFERROR(VLOOKUP(C176,Employees!$A$2:$B$500,2,FALSE),"")</x:f>
      </x:c>
      <x:c r="E176" s="42"/>
      <x:c r="F176" s="105"/>
      <x:c r="G176" s="106"/>
    </x:row>
    <x:row r="177" ht="22" customHeight="1">
      <x:c r="A177" s="92" t="str"/>
      <x:c r="B177" s="94" t="str">
        <x:f>IFERROR(INDEX(Employees!$A$2:$A$500,MATCH(A177,Employees!$B$2:$B$500,0)),"")</x:f>
      </x:c>
      <x:c r="C177" s="45"/>
      <x:c r="D177" s="43" t="str">
        <x:f>IFERROR(VLOOKUP(C177,Employees!$A$2:$B$500,2,FALSE),"")</x:f>
      </x:c>
      <x:c r="E177" s="42"/>
      <x:c r="F177" s="105"/>
      <x:c r="G177" s="106"/>
    </x:row>
    <x:row r="178" ht="22" customHeight="1">
      <x:c r="A178" s="92" t="str"/>
      <x:c r="B178" s="94" t="str">
        <x:f>IFERROR(INDEX(Employees!$A$2:$A$500,MATCH(A178,Employees!$B$2:$B$500,0)),"")</x:f>
      </x:c>
      <x:c r="C178" s="45"/>
      <x:c r="D178" s="43" t="str">
        <x:f>IFERROR(VLOOKUP(C178,Employees!$A$2:$B$500,2,FALSE),"")</x:f>
      </x:c>
      <x:c r="E178" s="42"/>
      <x:c r="F178" s="105"/>
      <x:c r="G178" s="106"/>
    </x:row>
    <x:row r="179" ht="22" customHeight="1">
      <x:c r="A179" s="92" t="str"/>
      <x:c r="B179" s="94" t="str">
        <x:f>IFERROR(INDEX(Employees!$A$2:$A$500,MATCH(A179,Employees!$B$2:$B$500,0)),"")</x:f>
      </x:c>
      <x:c r="C179" s="45"/>
      <x:c r="D179" s="43" t="str">
        <x:f>IFERROR(VLOOKUP(C179,Employees!$A$2:$B$500,2,FALSE),"")</x:f>
      </x:c>
      <x:c r="E179" s="42"/>
      <x:c r="F179" s="105"/>
      <x:c r="G179" s="106"/>
    </x:row>
    <x:row r="180" ht="22" customHeight="1">
      <x:c r="A180" s="92" t="str"/>
      <x:c r="B180" s="94" t="str">
        <x:f>IFERROR(INDEX(Employees!$A$2:$A$500,MATCH(A180,Employees!$B$2:$B$500,0)),"")</x:f>
      </x:c>
      <x:c r="C180" s="45"/>
      <x:c r="D180" s="43" t="str">
        <x:f>IFERROR(VLOOKUP(C180,Employees!$A$2:$B$500,2,FALSE),"")</x:f>
      </x:c>
      <x:c r="E180" s="42"/>
      <x:c r="F180" s="105"/>
      <x:c r="G180" s="106"/>
    </x:row>
    <x:row r="181" ht="22" customHeight="1">
      <x:c r="A181" s="92" t="str"/>
      <x:c r="B181" s="94" t="str">
        <x:f>IFERROR(INDEX(Employees!$A$2:$A$500,MATCH(A181,Employees!$B$2:$B$500,0)),"")</x:f>
      </x:c>
      <x:c r="C181" s="45"/>
      <x:c r="D181" s="43" t="str">
        <x:f>IFERROR(VLOOKUP(C181,Employees!$A$2:$B$500,2,FALSE),"")</x:f>
      </x:c>
      <x:c r="E181" s="42"/>
      <x:c r="F181" s="105"/>
      <x:c r="G181" s="106"/>
    </x:row>
    <x:row r="182" ht="22" customHeight="1">
      <x:c r="A182" s="92" t="str"/>
      <x:c r="B182" s="94" t="str">
        <x:f>IFERROR(INDEX(Employees!$A$2:$A$500,MATCH(A182,Employees!$B$2:$B$500,0)),"")</x:f>
      </x:c>
      <x:c r="C182" s="45"/>
      <x:c r="D182" s="43" t="str">
        <x:f>IFERROR(VLOOKUP(C182,Employees!$A$2:$B$500,2,FALSE),"")</x:f>
      </x:c>
      <x:c r="E182" s="42"/>
      <x:c r="F182" s="105"/>
      <x:c r="G182" s="106"/>
    </x:row>
    <x:row r="183" ht="22" customHeight="1">
      <x:c r="A183" s="92" t="str"/>
      <x:c r="B183" s="94" t="str">
        <x:f>IFERROR(INDEX(Employees!$A$2:$A$500,MATCH(A183,Employees!$B$2:$B$500,0)),"")</x:f>
      </x:c>
      <x:c r="C183" s="45"/>
      <x:c r="D183" s="43" t="str">
        <x:f>IFERROR(VLOOKUP(C183,Employees!$A$2:$B$500,2,FALSE),"")</x:f>
      </x:c>
      <x:c r="E183" s="42"/>
      <x:c r="F183" s="105"/>
      <x:c r="G183" s="106"/>
    </x:row>
    <x:row r="184" ht="22" customHeight="1">
      <x:c r="A184" s="92" t="str"/>
      <x:c r="B184" s="94" t="str">
        <x:f>IFERROR(INDEX(Employees!$A$2:$A$500,MATCH(A184,Employees!$B$2:$B$500,0)),"")</x:f>
      </x:c>
      <x:c r="C184" s="45"/>
      <x:c r="D184" s="43" t="str">
        <x:f>IFERROR(VLOOKUP(C184,Employees!$A$2:$B$500,2,FALSE),"")</x:f>
      </x:c>
      <x:c r="E184" s="42"/>
      <x:c r="F184" s="105"/>
      <x:c r="G184" s="106"/>
    </x:row>
    <x:row r="185" ht="22" customHeight="1">
      <x:c r="A185" s="92" t="str"/>
      <x:c r="B185" s="94" t="str">
        <x:f>IFERROR(INDEX(Employees!$A$2:$A$500,MATCH(A185,Employees!$B$2:$B$500,0)),"")</x:f>
      </x:c>
      <x:c r="C185" s="45"/>
      <x:c r="D185" s="43" t="str">
        <x:f>IFERROR(VLOOKUP(C185,Employees!$A$2:$B$500,2,FALSE),"")</x:f>
      </x:c>
      <x:c r="E185" s="42"/>
      <x:c r="F185" s="105"/>
      <x:c r="G185" s="106"/>
    </x:row>
    <x:row r="186" ht="22" customHeight="1">
      <x:c r="A186" s="92" t="str"/>
      <x:c r="B186" s="94" t="str">
        <x:f>IFERROR(INDEX(Employees!$A$2:$A$500,MATCH(A186,Employees!$B$2:$B$500,0)),"")</x:f>
      </x:c>
      <x:c r="C186" s="45"/>
      <x:c r="D186" s="43" t="str">
        <x:f>IFERROR(VLOOKUP(C186,Employees!$A$2:$B$500,2,FALSE),"")</x:f>
      </x:c>
      <x:c r="E186" s="42"/>
      <x:c r="F186" s="105"/>
      <x:c r="G186" s="106"/>
    </x:row>
    <x:row r="187" ht="22" customHeight="1">
      <x:c r="A187" s="92" t="str"/>
      <x:c r="B187" s="94" t="str">
        <x:f>IFERROR(INDEX(Employees!$A$2:$A$500,MATCH(A187,Employees!$B$2:$B$500,0)),"")</x:f>
      </x:c>
      <x:c r="C187" s="45"/>
      <x:c r="D187" s="43" t="str">
        <x:f>IFERROR(VLOOKUP(C187,Employees!$A$2:$B$500,2,FALSE),"")</x:f>
      </x:c>
      <x:c r="E187" s="42"/>
      <x:c r="F187" s="105"/>
      <x:c r="G187" s="106"/>
    </x:row>
    <x:row r="188" ht="22" customHeight="1">
      <x:c r="A188" s="92" t="str"/>
      <x:c r="B188" s="94" t="str">
        <x:f>IFERROR(INDEX(Employees!$A$2:$A$500,MATCH(A188,Employees!$B$2:$B$500,0)),"")</x:f>
      </x:c>
      <x:c r="C188" s="45"/>
      <x:c r="D188" s="43" t="str">
        <x:f>IFERROR(VLOOKUP(C188,Employees!$A$2:$B$500,2,FALSE),"")</x:f>
      </x:c>
      <x:c r="E188" s="42"/>
      <x:c r="F188" s="105"/>
      <x:c r="G188" s="106"/>
    </x:row>
    <x:row r="189" ht="22" customHeight="1">
      <x:c r="A189" s="92" t="str"/>
      <x:c r="B189" s="94" t="str">
        <x:f>IFERROR(INDEX(Employees!$A$2:$A$500,MATCH(A189,Employees!$B$2:$B$500,0)),"")</x:f>
      </x:c>
      <x:c r="C189" s="45"/>
      <x:c r="D189" s="43" t="str">
        <x:f>IFERROR(VLOOKUP(C189,Employees!$A$2:$B$500,2,FALSE),"")</x:f>
      </x:c>
      <x:c r="E189" s="42"/>
      <x:c r="F189" s="105"/>
      <x:c r="G189" s="106"/>
    </x:row>
    <x:row r="190" ht="22" customHeight="1">
      <x:c r="A190" s="92" t="str"/>
      <x:c r="B190" s="94" t="str">
        <x:f>IFERROR(INDEX(Employees!$A$2:$A$500,MATCH(A190,Employees!$B$2:$B$500,0)),"")</x:f>
      </x:c>
      <x:c r="C190" s="45"/>
      <x:c r="D190" s="43" t="str">
        <x:f>IFERROR(VLOOKUP(C190,Employees!$A$2:$B$500,2,FALSE),"")</x:f>
      </x:c>
      <x:c r="E190" s="42"/>
      <x:c r="F190" s="105"/>
      <x:c r="G190" s="106"/>
    </x:row>
    <x:row r="191" ht="22" customHeight="1">
      <x:c r="A191" s="92" t="str"/>
      <x:c r="B191" s="94" t="str">
        <x:f>IFERROR(INDEX(Employees!$A$2:$A$500,MATCH(A191,Employees!$B$2:$B$500,0)),"")</x:f>
      </x:c>
      <x:c r="C191" s="45"/>
      <x:c r="D191" s="43" t="str">
        <x:f>IFERROR(VLOOKUP(C191,Employees!$A$2:$B$500,2,FALSE),"")</x:f>
      </x:c>
      <x:c r="E191" s="42"/>
      <x:c r="F191" s="105"/>
      <x:c r="G191" s="106"/>
    </x:row>
    <x:row r="192" ht="22" customHeight="1">
      <x:c r="A192" s="92" t="str"/>
      <x:c r="B192" s="94" t="str">
        <x:f>IFERROR(INDEX(Employees!$A$2:$A$500,MATCH(A192,Employees!$B$2:$B$500,0)),"")</x:f>
      </x:c>
      <x:c r="C192" s="45"/>
      <x:c r="D192" s="43" t="str">
        <x:f>IFERROR(VLOOKUP(C192,Employees!$A$2:$B$500,2,FALSE),"")</x:f>
      </x:c>
      <x:c r="E192" s="42"/>
      <x:c r="F192" s="105"/>
      <x:c r="G192" s="106"/>
    </x:row>
    <x:row r="193" ht="22" customHeight="1">
      <x:c r="A193" s="92" t="str"/>
      <x:c r="B193" s="94" t="str">
        <x:f>IFERROR(INDEX(Employees!$A$2:$A$500,MATCH(A193,Employees!$B$2:$B$500,0)),"")</x:f>
      </x:c>
      <x:c r="C193" s="45"/>
      <x:c r="D193" s="43" t="str">
        <x:f>IFERROR(VLOOKUP(C193,Employees!$A$2:$B$500,2,FALSE),"")</x:f>
      </x:c>
      <x:c r="E193" s="42"/>
      <x:c r="F193" s="105"/>
      <x:c r="G193" s="106"/>
    </x:row>
    <x:row r="194" ht="22" customHeight="1">
      <x:c r="A194" s="92" t="str"/>
      <x:c r="B194" s="94" t="str">
        <x:f>IFERROR(INDEX(Employees!$A$2:$A$500,MATCH(A194,Employees!$B$2:$B$500,0)),"")</x:f>
      </x:c>
      <x:c r="C194" s="45"/>
      <x:c r="D194" s="43" t="str">
        <x:f>IFERROR(VLOOKUP(C194,Employees!$A$2:$B$500,2,FALSE),"")</x:f>
      </x:c>
      <x:c r="E194" s="42"/>
      <x:c r="F194" s="105"/>
      <x:c r="G194" s="106"/>
    </x:row>
    <x:row r="195" ht="22" customHeight="1">
      <x:c r="A195" s="92" t="str"/>
      <x:c r="B195" s="94" t="str">
        <x:f>IFERROR(INDEX(Employees!$A$2:$A$500,MATCH(A195,Employees!$B$2:$B$500,0)),"")</x:f>
      </x:c>
      <x:c r="C195" s="45"/>
      <x:c r="D195" s="43" t="str">
        <x:f>IFERROR(VLOOKUP(C195,Employees!$A$2:$B$500,2,FALSE),"")</x:f>
      </x:c>
      <x:c r="E195" s="42"/>
      <x:c r="F195" s="105"/>
      <x:c r="G195" s="106"/>
    </x:row>
    <x:row r="196" ht="22" customHeight="1">
      <x:c r="A196" s="92" t="str"/>
      <x:c r="B196" s="94" t="str">
        <x:f>IFERROR(INDEX(Employees!$A$2:$A$500,MATCH(A196,Employees!$B$2:$B$500,0)),"")</x:f>
      </x:c>
      <x:c r="C196" s="45"/>
      <x:c r="D196" s="43" t="str">
        <x:f>IFERROR(VLOOKUP(C196,Employees!$A$2:$B$500,2,FALSE),"")</x:f>
      </x:c>
      <x:c r="E196" s="42"/>
      <x:c r="F196" s="105"/>
      <x:c r="G196" s="106"/>
    </x:row>
    <x:row r="197" ht="22" customHeight="1">
      <x:c r="A197" s="92" t="str"/>
      <x:c r="B197" s="94" t="str">
        <x:f>IFERROR(INDEX(Employees!$A$2:$A$500,MATCH(A197,Employees!$B$2:$B$500,0)),"")</x:f>
      </x:c>
      <x:c r="C197" s="45"/>
      <x:c r="D197" s="43" t="str">
        <x:f>IFERROR(VLOOKUP(C197,Employees!$A$2:$B$500,2,FALSE),"")</x:f>
      </x:c>
      <x:c r="E197" s="42"/>
      <x:c r="F197" s="105"/>
      <x:c r="G197" s="106"/>
    </x:row>
    <x:row r="198" ht="22" customHeight="1">
      <x:c r="A198" s="92" t="str"/>
      <x:c r="B198" s="94" t="str">
        <x:f>IFERROR(INDEX(Employees!$A$2:$A$500,MATCH(A198,Employees!$B$2:$B$500,0)),"")</x:f>
      </x:c>
      <x:c r="C198" s="45"/>
      <x:c r="D198" s="43" t="str">
        <x:f>IFERROR(VLOOKUP(C198,Employees!$A$2:$B$500,2,FALSE),"")</x:f>
      </x:c>
      <x:c r="E198" s="42"/>
      <x:c r="F198" s="105"/>
      <x:c r="G198" s="106"/>
    </x:row>
    <x:row r="199" ht="22" customHeight="1">
      <x:c r="A199" s="92" t="str"/>
      <x:c r="B199" s="94" t="str">
        <x:f>IFERROR(INDEX(Employees!$A$2:$A$500,MATCH(A199,Employees!$B$2:$B$500,0)),"")</x:f>
      </x:c>
      <x:c r="C199" s="45"/>
      <x:c r="D199" s="43" t="str">
        <x:f>IFERROR(VLOOKUP(C199,Employees!$A$2:$B$500,2,FALSE),"")</x:f>
      </x:c>
      <x:c r="E199" s="42"/>
      <x:c r="F199" s="105"/>
      <x:c r="G199" s="106"/>
    </x:row>
    <x:row r="200" ht="22" customHeight="1">
      <x:c r="A200" s="92" t="str"/>
      <x:c r="B200" s="94" t="str">
        <x:f>IFERROR(INDEX(Employees!$A$2:$A$500,MATCH(A200,Employees!$B$2:$B$500,0)),"")</x:f>
      </x:c>
      <x:c r="C200" s="45"/>
      <x:c r="D200" s="43" t="str">
        <x:f>IFERROR(VLOOKUP(C200,Employees!$A$2:$B$500,2,FALSE),"")</x:f>
      </x:c>
      <x:c r="E200" s="42"/>
      <x:c r="F200" s="105"/>
      <x:c r="G200" s="106"/>
    </x:row>
    <x:row r="201" ht="22" customHeight="1">
      <x:c r="A201" s="92" t="str"/>
      <x:c r="B201" s="94" t="str">
        <x:f>IFERROR(INDEX(Employees!$A$2:$A$500,MATCH(A201,Employees!$B$2:$B$500,0)),"")</x:f>
      </x:c>
      <x:c r="C201" s="45"/>
      <x:c r="D201" s="43" t="str">
        <x:f>IFERROR(VLOOKUP(C201,Employees!$A$2:$B$500,2,FALSE),"")</x:f>
      </x:c>
      <x:c r="E201" s="42"/>
      <x:c r="F201" s="105"/>
      <x:c r="G201" s="106"/>
    </x:row>
    <x:row r="202" ht="22" customHeight="1">
      <x:c r="A202" s="92" t="str"/>
      <x:c r="B202" s="94" t="str">
        <x:f>IFERROR(INDEX(Employees!$A$2:$A$500,MATCH(A202,Employees!$B$2:$B$500,0)),"")</x:f>
      </x:c>
      <x:c r="C202" s="45"/>
      <x:c r="D202" s="43" t="str">
        <x:f>IFERROR(VLOOKUP(C202,Employees!$A$2:$B$500,2,FALSE),"")</x:f>
      </x:c>
      <x:c r="E202" s="42"/>
      <x:c r="F202" s="105"/>
      <x:c r="G202" s="106"/>
    </x:row>
    <x:row r="203" ht="22" customHeight="1">
      <x:c r="A203" s="92" t="str"/>
      <x:c r="B203" s="94" t="str">
        <x:f>IFERROR(INDEX(Employees!$A$2:$A$500,MATCH(A203,Employees!$B$2:$B$500,0)),"")</x:f>
      </x:c>
      <x:c r="C203" s="45"/>
      <x:c r="D203" s="43" t="str">
        <x:f>IFERROR(VLOOKUP(C203,Employees!$A$2:$B$500,2,FALSE),"")</x:f>
      </x:c>
      <x:c r="E203" s="42"/>
      <x:c r="F203" s="105"/>
      <x:c r="G203" s="106"/>
    </x:row>
    <x:row r="204" ht="22" customHeight="1">
      <x:c r="A204" s="92" t="str"/>
      <x:c r="B204" s="94" t="str">
        <x:f>IFERROR(INDEX(Employees!$A$2:$A$500,MATCH(A204,Employees!$B$2:$B$500,0)),"")</x:f>
      </x:c>
      <x:c r="C204" s="45"/>
      <x:c r="D204" s="43" t="str">
        <x:f>IFERROR(VLOOKUP(C204,Employees!$A$2:$B$500,2,FALSE),"")</x:f>
      </x:c>
      <x:c r="E204" s="42"/>
      <x:c r="F204" s="105"/>
      <x:c r="G204" s="106"/>
    </x:row>
    <x:row r="205" ht="22" customHeight="1">
      <x:c r="A205" s="92" t="str"/>
      <x:c r="B205" s="94" t="str">
        <x:f>IFERROR(INDEX(Employees!$A$2:$A$500,MATCH(A205,Employees!$B$2:$B$500,0)),"")</x:f>
      </x:c>
      <x:c r="C205" s="45"/>
      <x:c r="D205" s="43" t="str">
        <x:f>IFERROR(VLOOKUP(C205,Employees!$A$2:$B$500,2,FALSE),"")</x:f>
      </x:c>
      <x:c r="E205" s="42"/>
      <x:c r="F205" s="105"/>
      <x:c r="G205" s="106"/>
    </x:row>
    <x:row r="206" ht="22" customHeight="1">
      <x:c r="A206" s="92" t="str"/>
      <x:c r="B206" s="94" t="str">
        <x:f>IFERROR(INDEX(Employees!$A$2:$A$500,MATCH(A206,Employees!$B$2:$B$500,0)),"")</x:f>
      </x:c>
      <x:c r="C206" s="45"/>
      <x:c r="D206" s="43" t="str">
        <x:f>IFERROR(VLOOKUP(C206,Employees!$A$2:$B$500,2,FALSE),"")</x:f>
      </x:c>
      <x:c r="E206" s="42"/>
      <x:c r="F206" s="105"/>
      <x:c r="G206" s="106"/>
    </x:row>
    <x:row r="207" ht="22" customHeight="1">
      <x:c r="A207" s="92" t="str"/>
      <x:c r="B207" s="94" t="str">
        <x:f>IFERROR(INDEX(Employees!$A$2:$A$500,MATCH(A207,Employees!$B$2:$B$500,0)),"")</x:f>
      </x:c>
      <x:c r="C207" s="45"/>
      <x:c r="D207" s="43" t="str">
        <x:f>IFERROR(VLOOKUP(C207,Employees!$A$2:$B$500,2,FALSE),"")</x:f>
      </x:c>
      <x:c r="E207" s="42"/>
      <x:c r="F207" s="105"/>
      <x:c r="G207" s="106"/>
    </x:row>
    <x:row r="208" ht="22" customHeight="1">
      <x:c r="A208" s="92" t="str"/>
      <x:c r="B208" s="94" t="str">
        <x:f>IFERROR(INDEX(Employees!$A$2:$A$500,MATCH(A208,Employees!$B$2:$B$500,0)),"")</x:f>
      </x:c>
      <x:c r="C208" s="45"/>
      <x:c r="D208" s="43" t="str">
        <x:f>IFERROR(VLOOKUP(C208,Employees!$A$2:$B$500,2,FALSE),"")</x:f>
      </x:c>
      <x:c r="E208" s="42"/>
      <x:c r="F208" s="105"/>
      <x:c r="G208" s="106"/>
    </x:row>
    <x:row r="209" ht="22" customHeight="1">
      <x:c r="A209" s="92" t="str"/>
      <x:c r="B209" s="94" t="str">
        <x:f>IFERROR(INDEX(Employees!$A$2:$A$500,MATCH(A209,Employees!$B$2:$B$500,0)),"")</x:f>
      </x:c>
      <x:c r="C209" s="45"/>
      <x:c r="D209" s="43" t="str">
        <x:f>IFERROR(VLOOKUP(C209,Employees!$A$2:$B$500,2,FALSE),"")</x:f>
      </x:c>
      <x:c r="E209" s="42"/>
      <x:c r="F209" s="105"/>
      <x:c r="G209" s="106"/>
    </x:row>
    <x:row r="210" ht="22" customHeight="1">
      <x:c r="A210" s="92" t="str"/>
      <x:c r="B210" s="94" t="str">
        <x:f>IFERROR(INDEX(Employees!$A$2:$A$500,MATCH(A210,Employees!$B$2:$B$500,0)),"")</x:f>
      </x:c>
      <x:c r="C210" s="45"/>
      <x:c r="D210" s="43" t="str">
        <x:f>IFERROR(VLOOKUP(C210,Employees!$A$2:$B$500,2,FALSE),"")</x:f>
      </x:c>
      <x:c r="E210" s="42"/>
      <x:c r="F210" s="105"/>
      <x:c r="G210" s="106"/>
    </x:row>
    <x:row r="211" ht="22" customHeight="1">
      <x:c r="A211" s="92" t="str"/>
      <x:c r="B211" s="94" t="str">
        <x:f>IFERROR(INDEX(Employees!$A$2:$A$500,MATCH(A211,Employees!$B$2:$B$500,0)),"")</x:f>
      </x:c>
      <x:c r="C211" s="45"/>
      <x:c r="D211" s="43" t="str">
        <x:f>IFERROR(VLOOKUP(C211,Employees!$A$2:$B$500,2,FALSE),"")</x:f>
      </x:c>
      <x:c r="E211" s="42"/>
      <x:c r="F211" s="105"/>
      <x:c r="G211" s="106"/>
    </x:row>
    <x:row r="212" ht="22" customHeight="1">
      <x:c r="A212" s="92" t="str"/>
      <x:c r="B212" s="94" t="str">
        <x:f>IFERROR(INDEX(Employees!$A$2:$A$500,MATCH(A212,Employees!$B$2:$B$500,0)),"")</x:f>
      </x:c>
      <x:c r="C212" s="45"/>
      <x:c r="D212" s="43" t="str">
        <x:f>IFERROR(VLOOKUP(C212,Employees!$A$2:$B$500,2,FALSE),"")</x:f>
      </x:c>
      <x:c r="E212" s="42"/>
      <x:c r="F212" s="105"/>
      <x:c r="G212" s="106"/>
    </x:row>
    <x:row r="213" ht="22" customHeight="1">
      <x:c r="A213" s="92" t="str"/>
      <x:c r="B213" s="94" t="str">
        <x:f>IFERROR(INDEX(Employees!$A$2:$A$500,MATCH(A213,Employees!$B$2:$B$500,0)),"")</x:f>
      </x:c>
      <x:c r="C213" s="45"/>
      <x:c r="D213" s="43" t="str">
        <x:f>IFERROR(VLOOKUP(C213,Employees!$A$2:$B$500,2,FALSE),"")</x:f>
      </x:c>
      <x:c r="E213" s="42"/>
      <x:c r="F213" s="105"/>
      <x:c r="G213" s="106"/>
    </x:row>
    <x:row r="214" ht="22" customHeight="1">
      <x:c r="A214" s="92" t="str"/>
      <x:c r="B214" s="94" t="str">
        <x:f>IFERROR(INDEX(Employees!$A$2:$A$500,MATCH(A214,Employees!$B$2:$B$500,0)),"")</x:f>
      </x:c>
      <x:c r="C214" s="45"/>
      <x:c r="D214" s="43" t="str">
        <x:f>IFERROR(VLOOKUP(C214,Employees!$A$2:$B$500,2,FALSE),"")</x:f>
      </x:c>
      <x:c r="E214" s="42"/>
      <x:c r="F214" s="105"/>
      <x:c r="G214" s="106"/>
    </x:row>
    <x:row r="215" ht="22" customHeight="1">
      <x:c r="A215" s="92" t="str"/>
      <x:c r="B215" s="94" t="str">
        <x:f>IFERROR(INDEX(Employees!$A$2:$A$500,MATCH(A215,Employees!$B$2:$B$500,0)),"")</x:f>
      </x:c>
      <x:c r="C215" s="45"/>
      <x:c r="D215" s="43" t="str">
        <x:f>IFERROR(VLOOKUP(C215,Employees!$A$2:$B$500,2,FALSE),"")</x:f>
      </x:c>
      <x:c r="E215" s="42"/>
      <x:c r="F215" s="105"/>
      <x:c r="G215" s="106"/>
    </x:row>
    <x:row r="216" ht="22" customHeight="1">
      <x:c r="A216" s="92" t="str"/>
      <x:c r="B216" s="94" t="str">
        <x:f>IFERROR(INDEX(Employees!$A$2:$A$500,MATCH(A216,Employees!$B$2:$B$500,0)),"")</x:f>
      </x:c>
      <x:c r="C216" s="45"/>
      <x:c r="D216" s="43" t="str">
        <x:f>IFERROR(VLOOKUP(C216,Employees!$A$2:$B$500,2,FALSE),"")</x:f>
      </x:c>
      <x:c r="E216" s="42"/>
      <x:c r="F216" s="105"/>
      <x:c r="G216" s="106"/>
    </x:row>
    <x:row r="217" ht="22" customHeight="1">
      <x:c r="A217" s="92" t="str"/>
      <x:c r="B217" s="94" t="str">
        <x:f>IFERROR(INDEX(Employees!$A$2:$A$500,MATCH(A217,Employees!$B$2:$B$500,0)),"")</x:f>
      </x:c>
      <x:c r="C217" s="45"/>
      <x:c r="D217" s="43" t="str">
        <x:f>IFERROR(VLOOKUP(C217,Employees!$A$2:$B$500,2,FALSE),"")</x:f>
      </x:c>
      <x:c r="E217" s="42"/>
      <x:c r="F217" s="105"/>
      <x:c r="G217" s="106"/>
    </x:row>
    <x:row r="218" ht="22" customHeight="1">
      <x:c r="A218" s="92" t="str"/>
      <x:c r="B218" s="94" t="str">
        <x:f>IFERROR(INDEX(Employees!$A$2:$A$500,MATCH(A218,Employees!$B$2:$B$500,0)),"")</x:f>
      </x:c>
      <x:c r="C218" s="45"/>
      <x:c r="D218" s="43" t="str">
        <x:f>IFERROR(VLOOKUP(C218,Employees!$A$2:$B$500,2,FALSE),"")</x:f>
      </x:c>
      <x:c r="E218" s="42"/>
      <x:c r="F218" s="105"/>
      <x:c r="G218" s="106"/>
    </x:row>
    <x:row r="219" ht="22" customHeight="1">
      <x:c r="A219" s="92" t="str"/>
      <x:c r="B219" s="94" t="str">
        <x:f>IFERROR(INDEX(Employees!$A$2:$A$500,MATCH(A219,Employees!$B$2:$B$500,0)),"")</x:f>
      </x:c>
      <x:c r="C219" s="45"/>
      <x:c r="D219" s="43" t="str">
        <x:f>IFERROR(VLOOKUP(C219,Employees!$A$2:$B$500,2,FALSE),"")</x:f>
      </x:c>
      <x:c r="E219" s="42"/>
      <x:c r="F219" s="105"/>
      <x:c r="G219" s="106"/>
    </x:row>
    <x:row r="220" ht="22" customHeight="1">
      <x:c r="A220" s="92" t="str"/>
      <x:c r="B220" s="94" t="str">
        <x:f>IFERROR(INDEX(Employees!$A$2:$A$500,MATCH(A220,Employees!$B$2:$B$500,0)),"")</x:f>
      </x:c>
      <x:c r="C220" s="45"/>
      <x:c r="D220" s="43" t="str">
        <x:f>IFERROR(VLOOKUP(C220,Employees!$A$2:$B$500,2,FALSE),"")</x:f>
      </x:c>
      <x:c r="E220" s="42"/>
      <x:c r="F220" s="105"/>
      <x:c r="G220" s="106"/>
    </x:row>
    <x:row r="221" ht="22" customHeight="1">
      <x:c r="A221" s="92" t="str"/>
      <x:c r="B221" s="94" t="str">
        <x:f>IFERROR(INDEX(Employees!$A$2:$A$500,MATCH(A221,Employees!$B$2:$B$500,0)),"")</x:f>
      </x:c>
      <x:c r="C221" s="45"/>
      <x:c r="D221" s="43" t="str">
        <x:f>IFERROR(VLOOKUP(C221,Employees!$A$2:$B$500,2,FALSE),"")</x:f>
      </x:c>
      <x:c r="E221" s="42"/>
      <x:c r="F221" s="105"/>
      <x:c r="G221" s="106"/>
    </x:row>
    <x:row r="222" ht="22" customHeight="1">
      <x:c r="A222" s="92" t="str"/>
      <x:c r="B222" s="94" t="str">
        <x:f>IFERROR(INDEX(Employees!$A$2:$A$500,MATCH(A222,Employees!$B$2:$B$500,0)),"")</x:f>
      </x:c>
      <x:c r="C222" s="45"/>
      <x:c r="D222" s="43" t="str">
        <x:f>IFERROR(VLOOKUP(C222,Employees!$A$2:$B$500,2,FALSE),"")</x:f>
      </x:c>
      <x:c r="E222" s="42"/>
      <x:c r="F222" s="105"/>
      <x:c r="G222" s="106"/>
    </x:row>
    <x:row r="223" ht="22" customHeight="1">
      <x:c r="A223" s="92" t="str"/>
      <x:c r="B223" s="94" t="str">
        <x:f>IFERROR(INDEX(Employees!$A$2:$A$500,MATCH(A223,Employees!$B$2:$B$500,0)),"")</x:f>
      </x:c>
      <x:c r="C223" s="45"/>
      <x:c r="D223" s="43" t="str">
        <x:f>IFERROR(VLOOKUP(C223,Employees!$A$2:$B$500,2,FALSE),"")</x:f>
      </x:c>
      <x:c r="E223" s="42"/>
      <x:c r="F223" s="105"/>
      <x:c r="G223" s="106"/>
    </x:row>
    <x:row r="224" ht="22" customHeight="1">
      <x:c r="A224" s="92" t="str"/>
      <x:c r="B224" s="94" t="str">
        <x:f>IFERROR(INDEX(Employees!$A$2:$A$500,MATCH(A224,Employees!$B$2:$B$500,0)),"")</x:f>
      </x:c>
      <x:c r="C224" s="45"/>
      <x:c r="D224" s="43" t="str">
        <x:f>IFERROR(VLOOKUP(C224,Employees!$A$2:$B$500,2,FALSE),"")</x:f>
      </x:c>
      <x:c r="E224" s="42"/>
      <x:c r="F224" s="105"/>
      <x:c r="G224" s="106"/>
    </x:row>
    <x:row r="225" ht="22" customHeight="1">
      <x:c r="A225" s="92" t="str"/>
      <x:c r="B225" s="94" t="str">
        <x:f>IFERROR(INDEX(Employees!$A$2:$A$500,MATCH(A225,Employees!$B$2:$B$500,0)),"")</x:f>
      </x:c>
      <x:c r="C225" s="45"/>
      <x:c r="D225" s="43" t="str">
        <x:f>IFERROR(VLOOKUP(C225,Employees!$A$2:$B$500,2,FALSE),"")</x:f>
      </x:c>
      <x:c r="E225" s="42"/>
      <x:c r="F225" s="105"/>
      <x:c r="G225" s="106"/>
    </x:row>
    <x:row r="226" ht="22" customHeight="1">
      <x:c r="A226" s="92" t="str"/>
      <x:c r="B226" s="94" t="str">
        <x:f>IFERROR(INDEX(Employees!$A$2:$A$500,MATCH(A226,Employees!$B$2:$B$500,0)),"")</x:f>
      </x:c>
      <x:c r="C226" s="45"/>
      <x:c r="D226" s="43" t="str">
        <x:f>IFERROR(VLOOKUP(C226,Employees!$A$2:$B$500,2,FALSE),"")</x:f>
      </x:c>
      <x:c r="E226" s="42"/>
      <x:c r="F226" s="105"/>
      <x:c r="G226" s="106"/>
    </x:row>
    <x:row r="227" ht="22" customHeight="1">
      <x:c r="A227" s="92" t="str"/>
      <x:c r="B227" s="94" t="str">
        <x:f>IFERROR(INDEX(Employees!$A$2:$A$500,MATCH(A227,Employees!$B$2:$B$500,0)),"")</x:f>
      </x:c>
      <x:c r="C227" s="45"/>
      <x:c r="D227" s="43" t="str">
        <x:f>IFERROR(VLOOKUP(C227,Employees!$A$2:$B$500,2,FALSE),"")</x:f>
      </x:c>
      <x:c r="E227" s="42"/>
      <x:c r="F227" s="105"/>
      <x:c r="G227" s="106"/>
    </x:row>
    <x:row r="228" ht="22" customHeight="1">
      <x:c r="A228" s="92" t="str"/>
      <x:c r="B228" s="94" t="str">
        <x:f>IFERROR(INDEX(Employees!$A$2:$A$500,MATCH(A228,Employees!$B$2:$B$500,0)),"")</x:f>
      </x:c>
      <x:c r="C228" s="45"/>
      <x:c r="D228" s="43" t="str">
        <x:f>IFERROR(VLOOKUP(C228,Employees!$A$2:$B$500,2,FALSE),"")</x:f>
      </x:c>
      <x:c r="E228" s="42"/>
      <x:c r="F228" s="105"/>
      <x:c r="G228" s="106"/>
    </x:row>
    <x:row r="229" ht="22" customHeight="1">
      <x:c r="A229" s="92" t="str"/>
      <x:c r="B229" s="94" t="str">
        <x:f>IFERROR(INDEX(Employees!$A$2:$A$500,MATCH(A229,Employees!$B$2:$B$500,0)),"")</x:f>
      </x:c>
      <x:c r="C229" s="45"/>
      <x:c r="D229" s="43" t="str">
        <x:f>IFERROR(VLOOKUP(C229,Employees!$A$2:$B$500,2,FALSE),"")</x:f>
      </x:c>
      <x:c r="E229" s="42"/>
      <x:c r="F229" s="105"/>
      <x:c r="G229" s="106"/>
    </x:row>
    <x:row r="230" ht="22" customHeight="1">
      <x:c r="A230" s="92" t="str"/>
      <x:c r="B230" s="94" t="str">
        <x:f>IFERROR(INDEX(Employees!$A$2:$A$500,MATCH(A230,Employees!$B$2:$B$500,0)),"")</x:f>
      </x:c>
      <x:c r="C230" s="45"/>
      <x:c r="D230" s="43" t="str">
        <x:f>IFERROR(VLOOKUP(C230,Employees!$A$2:$B$500,2,FALSE),"")</x:f>
      </x:c>
      <x:c r="E230" s="42"/>
      <x:c r="F230" s="105"/>
      <x:c r="G230" s="106"/>
    </x:row>
    <x:row r="231" ht="22" customHeight="1">
      <x:c r="A231" s="92" t="str"/>
      <x:c r="B231" s="94" t="str">
        <x:f>IFERROR(INDEX(Employees!$A$2:$A$500,MATCH(A231,Employees!$B$2:$B$500,0)),"")</x:f>
      </x:c>
      <x:c r="C231" s="45"/>
      <x:c r="D231" s="43" t="str">
        <x:f>IFERROR(VLOOKUP(C231,Employees!$A$2:$B$500,2,FALSE),"")</x:f>
      </x:c>
      <x:c r="E231" s="42"/>
      <x:c r="F231" s="105"/>
      <x:c r="G231" s="106"/>
    </x:row>
    <x:row r="232" ht="22" customHeight="1">
      <x:c r="A232" s="92" t="str"/>
      <x:c r="B232" s="94" t="str">
        <x:f>IFERROR(INDEX(Employees!$A$2:$A$500,MATCH(A232,Employees!$B$2:$B$500,0)),"")</x:f>
      </x:c>
      <x:c r="C232" s="45"/>
      <x:c r="D232" s="43" t="str">
        <x:f>IFERROR(VLOOKUP(C232,Employees!$A$2:$B$500,2,FALSE),"")</x:f>
      </x:c>
      <x:c r="E232" s="42"/>
      <x:c r="F232" s="105"/>
      <x:c r="G232" s="106"/>
    </x:row>
    <x:row r="233" ht="22" customHeight="1">
      <x:c r="A233" s="92" t="str"/>
      <x:c r="B233" s="94" t="str">
        <x:f>IFERROR(INDEX(Employees!$A$2:$A$500,MATCH(A233,Employees!$B$2:$B$500,0)),"")</x:f>
      </x:c>
      <x:c r="C233" s="45"/>
      <x:c r="D233" s="43" t="str">
        <x:f>IFERROR(VLOOKUP(C233,Employees!$A$2:$B$500,2,FALSE),"")</x:f>
      </x:c>
      <x:c r="E233" s="42"/>
      <x:c r="F233" s="105"/>
      <x:c r="G233" s="106"/>
    </x:row>
    <x:row r="234" ht="22" customHeight="1">
      <x:c r="A234" s="92" t="str"/>
      <x:c r="B234" s="94" t="str">
        <x:f>IFERROR(INDEX(Employees!$A$2:$A$500,MATCH(A234,Employees!$B$2:$B$500,0)),"")</x:f>
      </x:c>
      <x:c r="C234" s="45"/>
      <x:c r="D234" s="43" t="str">
        <x:f>IFERROR(VLOOKUP(C234,Employees!$A$2:$B$500,2,FALSE),"")</x:f>
      </x:c>
      <x:c r="E234" s="42"/>
      <x:c r="F234" s="105"/>
      <x:c r="G234" s="106"/>
    </x:row>
    <x:row r="235" ht="22" customHeight="1">
      <x:c r="A235" s="92" t="str"/>
      <x:c r="B235" s="94" t="str">
        <x:f>IFERROR(INDEX(Employees!$A$2:$A$500,MATCH(A235,Employees!$B$2:$B$500,0)),"")</x:f>
      </x:c>
      <x:c r="C235" s="45"/>
      <x:c r="D235" s="43" t="str">
        <x:f>IFERROR(VLOOKUP(C235,Employees!$A$2:$B$500,2,FALSE),"")</x:f>
      </x:c>
      <x:c r="E235" s="42"/>
      <x:c r="F235" s="105"/>
      <x:c r="G235" s="106"/>
    </x:row>
    <x:row r="236" ht="22" customHeight="1">
      <x:c r="A236" s="92" t="str"/>
      <x:c r="B236" s="94" t="str">
        <x:f>IFERROR(INDEX(Employees!$A$2:$A$500,MATCH(A236,Employees!$B$2:$B$500,0)),"")</x:f>
      </x:c>
      <x:c r="C236" s="45"/>
      <x:c r="D236" s="43" t="str">
        <x:f>IFERROR(VLOOKUP(C236,Employees!$A$2:$B$500,2,FALSE),"")</x:f>
      </x:c>
      <x:c r="E236" s="42"/>
      <x:c r="F236" s="105"/>
      <x:c r="G236" s="106"/>
    </x:row>
    <x:row r="237" ht="22" customHeight="1">
      <x:c r="A237" s="92" t="str"/>
      <x:c r="B237" s="94" t="str">
        <x:f>IFERROR(INDEX(Employees!$A$2:$A$500,MATCH(A237,Employees!$B$2:$B$500,0)),"")</x:f>
      </x:c>
      <x:c r="C237" s="45"/>
      <x:c r="D237" s="43" t="str">
        <x:f>IFERROR(VLOOKUP(C237,Employees!$A$2:$B$500,2,FALSE),"")</x:f>
      </x:c>
      <x:c r="E237" s="42"/>
      <x:c r="F237" s="105"/>
      <x:c r="G237" s="106"/>
    </x:row>
    <x:row r="238" ht="22" customHeight="1">
      <x:c r="A238" s="92" t="str"/>
      <x:c r="B238" s="94" t="str">
        <x:f>IFERROR(INDEX(Employees!$A$2:$A$500,MATCH(A238,Employees!$B$2:$B$500,0)),"")</x:f>
      </x:c>
      <x:c r="C238" s="45"/>
      <x:c r="D238" s="43" t="str">
        <x:f>IFERROR(VLOOKUP(C238,Employees!$A$2:$B$500,2,FALSE),"")</x:f>
      </x:c>
      <x:c r="E238" s="42"/>
      <x:c r="F238" s="105"/>
      <x:c r="G238" s="106"/>
    </x:row>
    <x:row r="239" ht="22" customHeight="1">
      <x:c r="A239" s="92" t="str"/>
      <x:c r="B239" s="94" t="str">
        <x:f>IFERROR(INDEX(Employees!$A$2:$A$500,MATCH(A239,Employees!$B$2:$B$500,0)),"")</x:f>
      </x:c>
      <x:c r="C239" s="45"/>
      <x:c r="D239" s="43" t="str">
        <x:f>IFERROR(VLOOKUP(C239,Employees!$A$2:$B$500,2,FALSE),"")</x:f>
      </x:c>
      <x:c r="E239" s="42"/>
      <x:c r="F239" s="105"/>
      <x:c r="G239" s="106"/>
    </x:row>
    <x:row r="240" ht="22" customHeight="1">
      <x:c r="A240" s="92" t="str"/>
      <x:c r="B240" s="94" t="str">
        <x:f>IFERROR(INDEX(Employees!$A$2:$A$500,MATCH(A240,Employees!$B$2:$B$500,0)),"")</x:f>
      </x:c>
      <x:c r="C240" s="45"/>
      <x:c r="D240" s="43" t="str">
        <x:f>IFERROR(VLOOKUP(C240,Employees!$A$2:$B$500,2,FALSE),"")</x:f>
      </x:c>
      <x:c r="E240" s="42"/>
      <x:c r="F240" s="105"/>
      <x:c r="G240" s="106"/>
    </x:row>
    <x:row r="241" ht="22" customHeight="1">
      <x:c r="A241" s="92" t="str"/>
      <x:c r="B241" s="94" t="str">
        <x:f>IFERROR(INDEX(Employees!$A$2:$A$500,MATCH(A241,Employees!$B$2:$B$500,0)),"")</x:f>
      </x:c>
      <x:c r="C241" s="45"/>
      <x:c r="D241" s="43" t="str">
        <x:f>IFERROR(VLOOKUP(C241,Employees!$A$2:$B$500,2,FALSE),"")</x:f>
      </x:c>
      <x:c r="E241" s="42"/>
      <x:c r="F241" s="105"/>
      <x:c r="G241" s="106"/>
    </x:row>
    <x:row r="242" ht="22" customHeight="1">
      <x:c r="A242" s="92" t="str"/>
      <x:c r="B242" s="94" t="str">
        <x:f>IFERROR(INDEX(Employees!$A$2:$A$500,MATCH(A242,Employees!$B$2:$B$500,0)),"")</x:f>
      </x:c>
      <x:c r="C242" s="45"/>
      <x:c r="D242" s="43" t="str">
        <x:f>IFERROR(VLOOKUP(C242,Employees!$A$2:$B$500,2,FALSE),"")</x:f>
      </x:c>
      <x:c r="E242" s="42"/>
      <x:c r="F242" s="105"/>
      <x:c r="G242" s="106"/>
    </x:row>
    <x:row r="243" ht="22" customHeight="1">
      <x:c r="A243" s="92" t="str"/>
      <x:c r="B243" s="94" t="str">
        <x:f>IFERROR(INDEX(Employees!$A$2:$A$500,MATCH(A243,Employees!$B$2:$B$500,0)),"")</x:f>
      </x:c>
      <x:c r="C243" s="45"/>
      <x:c r="D243" s="43" t="str">
        <x:f>IFERROR(VLOOKUP(C243,Employees!$A$2:$B$500,2,FALSE),"")</x:f>
      </x:c>
      <x:c r="E243" s="42"/>
      <x:c r="F243" s="105"/>
      <x:c r="G243" s="106"/>
    </x:row>
    <x:row r="244" ht="22" customHeight="1">
      <x:c r="A244" s="92" t="str"/>
      <x:c r="B244" s="94" t="str">
        <x:f>IFERROR(INDEX(Employees!$A$2:$A$500,MATCH(A244,Employees!$B$2:$B$500,0)),"")</x:f>
      </x:c>
      <x:c r="C244" s="45"/>
      <x:c r="D244" s="43" t="str">
        <x:f>IFERROR(VLOOKUP(C244,Employees!$A$2:$B$500,2,FALSE),"")</x:f>
      </x:c>
      <x:c r="E244" s="42"/>
      <x:c r="F244" s="105"/>
      <x:c r="G244" s="106"/>
    </x:row>
    <x:row r="245" ht="22" customHeight="1">
      <x:c r="A245" s="92" t="str"/>
      <x:c r="B245" s="94" t="str">
        <x:f>IFERROR(INDEX(Employees!$A$2:$A$500,MATCH(A245,Employees!$B$2:$B$500,0)),"")</x:f>
      </x:c>
      <x:c r="C245" s="45"/>
      <x:c r="D245" s="43" t="str">
        <x:f>IFERROR(VLOOKUP(C245,Employees!$A$2:$B$500,2,FALSE),"")</x:f>
      </x:c>
      <x:c r="E245" s="42"/>
      <x:c r="F245" s="105"/>
      <x:c r="G245" s="106"/>
    </x:row>
    <x:row r="246" ht="22" customHeight="1">
      <x:c r="A246" s="92" t="str"/>
      <x:c r="B246" s="94" t="str">
        <x:f>IFERROR(INDEX(Employees!$A$2:$A$500,MATCH(A246,Employees!$B$2:$B$500,0)),"")</x:f>
      </x:c>
      <x:c r="C246" s="45"/>
      <x:c r="D246" s="43" t="str">
        <x:f>IFERROR(VLOOKUP(C246,Employees!$A$2:$B$500,2,FALSE),"")</x:f>
      </x:c>
      <x:c r="E246" s="42"/>
      <x:c r="F246" s="105"/>
      <x:c r="G246" s="106"/>
    </x:row>
    <x:row r="247" ht="22" customHeight="1">
      <x:c r="A247" s="92" t="str"/>
      <x:c r="B247" s="94" t="str">
        <x:f>IFERROR(INDEX(Employees!$A$2:$A$500,MATCH(A247,Employees!$B$2:$B$500,0)),"")</x:f>
      </x:c>
      <x:c r="C247" s="45"/>
      <x:c r="D247" s="43" t="str">
        <x:f>IFERROR(VLOOKUP(C247,Employees!$A$2:$B$500,2,FALSE),"")</x:f>
      </x:c>
      <x:c r="E247" s="42"/>
      <x:c r="F247" s="105"/>
      <x:c r="G247" s="106"/>
    </x:row>
    <x:row r="248" ht="22" customHeight="1">
      <x:c r="A248" s="92" t="str"/>
      <x:c r="B248" s="94" t="str">
        <x:f>IFERROR(INDEX(Employees!$A$2:$A$500,MATCH(A248,Employees!$B$2:$B$500,0)),"")</x:f>
      </x:c>
      <x:c r="C248" s="45"/>
      <x:c r="D248" s="43" t="str">
        <x:f>IFERROR(VLOOKUP(C248,Employees!$A$2:$B$500,2,FALSE),"")</x:f>
      </x:c>
      <x:c r="E248" s="42"/>
      <x:c r="F248" s="105"/>
      <x:c r="G248" s="106"/>
    </x:row>
    <x:row r="249" ht="22" customHeight="1">
      <x:c r="A249" s="92" t="str"/>
      <x:c r="B249" s="94" t="str">
        <x:f>IFERROR(INDEX(Employees!$A$2:$A$500,MATCH(A249,Employees!$B$2:$B$500,0)),"")</x:f>
      </x:c>
      <x:c r="C249" s="45"/>
      <x:c r="D249" s="43" t="str">
        <x:f>IFERROR(VLOOKUP(C249,Employees!$A$2:$B$500,2,FALSE),"")</x:f>
      </x:c>
      <x:c r="E249" s="42"/>
      <x:c r="F249" s="105"/>
      <x:c r="G249" s="106"/>
    </x:row>
    <x:row r="250" ht="22" customHeight="1">
      <x:c r="A250" s="92" t="str"/>
      <x:c r="B250" s="94" t="str">
        <x:f>IFERROR(INDEX(Employees!$A$2:$A$500,MATCH(A250,Employees!$B$2:$B$500,0)),"")</x:f>
      </x:c>
      <x:c r="C250" s="45"/>
      <x:c r="D250" s="43" t="str">
        <x:f>IFERROR(VLOOKUP(C250,Employees!$A$2:$B$500,2,FALSE),"")</x:f>
      </x:c>
      <x:c r="E250" s="42"/>
      <x:c r="F250" s="105"/>
      <x:c r="G250" s="106"/>
    </x:row>
    <x:row r="251" ht="22" customHeight="1">
      <x:c r="A251" s="92" t="str"/>
      <x:c r="B251" s="94" t="str">
        <x:f>IFERROR(INDEX(Employees!$A$2:$A$500,MATCH(A251,Employees!$B$2:$B$500,0)),"")</x:f>
      </x:c>
      <x:c r="C251" s="45"/>
      <x:c r="D251" s="43" t="str">
        <x:f>IFERROR(VLOOKUP(C251,Employees!$A$2:$B$500,2,FALSE),"")</x:f>
      </x:c>
      <x:c r="E251" s="42"/>
      <x:c r="F251" s="105"/>
      <x:c r="G251" s="106"/>
    </x:row>
    <x:row r="252" ht="22" customHeight="1">
      <x:c r="A252" s="92" t="str"/>
      <x:c r="B252" s="94" t="str">
        <x:f>IFERROR(INDEX(Employees!$A$2:$A$500,MATCH(A252,Employees!$B$2:$B$500,0)),"")</x:f>
      </x:c>
      <x:c r="C252" s="45"/>
      <x:c r="D252" s="43" t="str">
        <x:f>IFERROR(VLOOKUP(C252,Employees!$A$2:$B$500,2,FALSE),"")</x:f>
      </x:c>
      <x:c r="E252" s="42"/>
      <x:c r="F252" s="105"/>
      <x:c r="G252" s="106"/>
    </x:row>
    <x:row r="253" ht="22" customHeight="1">
      <x:c r="A253" s="92" t="str"/>
      <x:c r="B253" s="94" t="str">
        <x:f>IFERROR(INDEX(Employees!$A$2:$A$500,MATCH(A253,Employees!$B$2:$B$500,0)),"")</x:f>
      </x:c>
      <x:c r="C253" s="45"/>
      <x:c r="D253" s="43" t="str">
        <x:f>IFERROR(VLOOKUP(C253,Employees!$A$2:$B$500,2,FALSE),"")</x:f>
      </x:c>
      <x:c r="E253" s="42"/>
      <x:c r="F253" s="105"/>
      <x:c r="G253" s="106"/>
    </x:row>
    <x:row r="254" ht="22" customHeight="1">
      <x:c r="A254" s="92" t="str"/>
      <x:c r="B254" s="94" t="str">
        <x:f>IFERROR(INDEX(Employees!$A$2:$A$500,MATCH(A254,Employees!$B$2:$B$500,0)),"")</x:f>
      </x:c>
      <x:c r="C254" s="45"/>
      <x:c r="D254" s="43" t="str">
        <x:f>IFERROR(VLOOKUP(C254,Employees!$A$2:$B$500,2,FALSE),"")</x:f>
      </x:c>
      <x:c r="E254" s="42"/>
      <x:c r="F254" s="105"/>
      <x:c r="G254" s="106"/>
    </x:row>
    <x:row r="255" ht="22" customHeight="1">
      <x:c r="A255" s="92" t="str"/>
      <x:c r="B255" s="94" t="str">
        <x:f>IFERROR(INDEX(Employees!$A$2:$A$500,MATCH(A255,Employees!$B$2:$B$500,0)),"")</x:f>
      </x:c>
      <x:c r="C255" s="45"/>
      <x:c r="D255" s="43" t="str">
        <x:f>IFERROR(VLOOKUP(C255,Employees!$A$2:$B$500,2,FALSE),"")</x:f>
      </x:c>
      <x:c r="E255" s="42"/>
      <x:c r="F255" s="105"/>
      <x:c r="G255" s="106"/>
    </x:row>
    <x:row r="256" ht="22" customHeight="1">
      <x:c r="A256" s="92" t="str"/>
      <x:c r="B256" s="94" t="str">
        <x:f>IFERROR(INDEX(Employees!$A$2:$A$500,MATCH(A256,Employees!$B$2:$B$500,0)),"")</x:f>
      </x:c>
      <x:c r="C256" s="45"/>
      <x:c r="D256" s="43" t="str">
        <x:f>IFERROR(VLOOKUP(C256,Employees!$A$2:$B$500,2,FALSE),"")</x:f>
      </x:c>
      <x:c r="E256" s="42"/>
      <x:c r="F256" s="105"/>
      <x:c r="G256" s="106"/>
    </x:row>
    <x:row r="257" ht="22" customHeight="1">
      <x:c r="A257" s="92" t="str"/>
      <x:c r="B257" s="94" t="str">
        <x:f>IFERROR(INDEX(Employees!$A$2:$A$500,MATCH(A257,Employees!$B$2:$B$500,0)),"")</x:f>
      </x:c>
      <x:c r="C257" s="45"/>
      <x:c r="D257" s="43" t="str">
        <x:f>IFERROR(VLOOKUP(C257,Employees!$A$2:$B$500,2,FALSE),"")</x:f>
      </x:c>
      <x:c r="E257" s="42"/>
      <x:c r="F257" s="105"/>
      <x:c r="G257" s="106"/>
    </x:row>
    <x:row r="258" ht="22" customHeight="1">
      <x:c r="A258" s="92" t="str"/>
      <x:c r="B258" s="94" t="str">
        <x:f>IFERROR(INDEX(Employees!$A$2:$A$500,MATCH(A258,Employees!$B$2:$B$500,0)),"")</x:f>
      </x:c>
      <x:c r="C258" s="45"/>
      <x:c r="D258" s="43" t="str">
        <x:f>IFERROR(VLOOKUP(C258,Employees!$A$2:$B$500,2,FALSE),"")</x:f>
      </x:c>
      <x:c r="E258" s="42"/>
      <x:c r="F258" s="105"/>
      <x:c r="G258" s="106"/>
    </x:row>
    <x:row r="259" ht="22" customHeight="1">
      <x:c r="A259" s="92" t="str"/>
      <x:c r="B259" s="94" t="str">
        <x:f>IFERROR(INDEX(Employees!$A$2:$A$500,MATCH(A259,Employees!$B$2:$B$500,0)),"")</x:f>
      </x:c>
      <x:c r="C259" s="45"/>
      <x:c r="D259" s="43" t="str">
        <x:f>IFERROR(VLOOKUP(C259,Employees!$A$2:$B$500,2,FALSE),"")</x:f>
      </x:c>
      <x:c r="E259" s="42"/>
      <x:c r="F259" s="105"/>
      <x:c r="G259" s="106"/>
    </x:row>
    <x:row r="260" ht="22" customHeight="1">
      <x:c r="A260" s="92" t="str"/>
      <x:c r="B260" s="94" t="str">
        <x:f>IFERROR(INDEX(Employees!$A$2:$A$500,MATCH(A260,Employees!$B$2:$B$500,0)),"")</x:f>
      </x:c>
      <x:c r="C260" s="45"/>
      <x:c r="D260" s="43" t="str">
        <x:f>IFERROR(VLOOKUP(C260,Employees!$A$2:$B$500,2,FALSE),"")</x:f>
      </x:c>
      <x:c r="E260" s="42"/>
      <x:c r="F260" s="105"/>
      <x:c r="G260" s="106"/>
    </x:row>
    <x:row r="261" ht="22" customHeight="1">
      <x:c r="A261" s="92" t="str"/>
      <x:c r="B261" s="94" t="str">
        <x:f>IFERROR(INDEX(Employees!$A$2:$A$500,MATCH(A261,Employees!$B$2:$B$500,0)),"")</x:f>
      </x:c>
      <x:c r="C261" s="45"/>
      <x:c r="D261" s="43" t="str">
        <x:f>IFERROR(VLOOKUP(C261,Employees!$A$2:$B$500,2,FALSE),"")</x:f>
      </x:c>
      <x:c r="E261" s="42"/>
      <x:c r="F261" s="105"/>
      <x:c r="G261" s="106"/>
    </x:row>
    <x:row r="262" ht="22" customHeight="1">
      <x:c r="A262" s="92" t="str"/>
      <x:c r="B262" s="94" t="str">
        <x:f>IFERROR(INDEX(Employees!$A$2:$A$500,MATCH(A262,Employees!$B$2:$B$500,0)),"")</x:f>
      </x:c>
      <x:c r="C262" s="45"/>
      <x:c r="D262" s="43" t="str">
        <x:f>IFERROR(VLOOKUP(C262,Employees!$A$2:$B$500,2,FALSE),"")</x:f>
      </x:c>
      <x:c r="E262" s="42"/>
      <x:c r="F262" s="105"/>
      <x:c r="G262" s="106"/>
    </x:row>
    <x:row r="263" ht="22" customHeight="1">
      <x:c r="A263" s="92" t="str"/>
      <x:c r="B263" s="94" t="str">
        <x:f>IFERROR(INDEX(Employees!$A$2:$A$500,MATCH(A263,Employees!$B$2:$B$500,0)),"")</x:f>
      </x:c>
      <x:c r="C263" s="45"/>
      <x:c r="D263" s="43" t="str">
        <x:f>IFERROR(VLOOKUP(C263,Employees!$A$2:$B$500,2,FALSE),"")</x:f>
      </x:c>
      <x:c r="E263" s="42"/>
      <x:c r="F263" s="105"/>
      <x:c r="G263" s="106"/>
    </x:row>
    <x:row r="264" ht="22" customHeight="1">
      <x:c r="A264" s="92" t="str"/>
      <x:c r="B264" s="94" t="str">
        <x:f>IFERROR(INDEX(Employees!$A$2:$A$500,MATCH(A264,Employees!$B$2:$B$500,0)),"")</x:f>
      </x:c>
      <x:c r="C264" s="45"/>
      <x:c r="D264" s="43" t="str">
        <x:f>IFERROR(VLOOKUP(C264,Employees!$A$2:$B$500,2,FALSE),"")</x:f>
      </x:c>
      <x:c r="E264" s="42"/>
      <x:c r="F264" s="105"/>
      <x:c r="G264" s="106"/>
    </x:row>
    <x:row r="265" ht="22" customHeight="1">
      <x:c r="A265" s="92" t="str"/>
      <x:c r="B265" s="94" t="str">
        <x:f>IFERROR(INDEX(Employees!$A$2:$A$500,MATCH(A265,Employees!$B$2:$B$500,0)),"")</x:f>
      </x:c>
      <x:c r="C265" s="45"/>
      <x:c r="D265" s="43" t="str">
        <x:f>IFERROR(VLOOKUP(C265,Employees!$A$2:$B$500,2,FALSE),"")</x:f>
      </x:c>
      <x:c r="E265" s="42"/>
      <x:c r="F265" s="105"/>
      <x:c r="G265" s="106"/>
    </x:row>
    <x:row r="266" ht="22" customHeight="1">
      <x:c r="A266" s="92" t="str"/>
      <x:c r="B266" s="94" t="str">
        <x:f>IFERROR(INDEX(Employees!$A$2:$A$500,MATCH(A266,Employees!$B$2:$B$500,0)),"")</x:f>
      </x:c>
      <x:c r="C266" s="45"/>
      <x:c r="D266" s="43" t="str">
        <x:f>IFERROR(VLOOKUP(C266,Employees!$A$2:$B$500,2,FALSE),"")</x:f>
      </x:c>
      <x:c r="E266" s="42"/>
      <x:c r="F266" s="105"/>
      <x:c r="G266" s="106"/>
    </x:row>
    <x:row r="267" ht="22" customHeight="1">
      <x:c r="A267" s="92" t="str"/>
      <x:c r="B267" s="94" t="str">
        <x:f>IFERROR(INDEX(Employees!$A$2:$A$500,MATCH(A267,Employees!$B$2:$B$500,0)),"")</x:f>
      </x:c>
      <x:c r="C267" s="45"/>
      <x:c r="D267" s="43" t="str">
        <x:f>IFERROR(VLOOKUP(C267,Employees!$A$2:$B$500,2,FALSE),"")</x:f>
      </x:c>
      <x:c r="E267" s="42"/>
      <x:c r="F267" s="105"/>
      <x:c r="G267" s="106"/>
    </x:row>
    <x:row r="268" ht="22" customHeight="1">
      <x:c r="A268" s="92" t="str"/>
      <x:c r="B268" s="94" t="str">
        <x:f>IFERROR(INDEX(Employees!$A$2:$A$500,MATCH(A268,Employees!$B$2:$B$500,0)),"")</x:f>
      </x:c>
      <x:c r="C268" s="45"/>
      <x:c r="D268" s="43" t="str">
        <x:f>IFERROR(VLOOKUP(C268,Employees!$A$2:$B$500,2,FALSE),"")</x:f>
      </x:c>
      <x:c r="E268" s="42"/>
      <x:c r="F268" s="105"/>
      <x:c r="G268" s="106"/>
    </x:row>
    <x:row r="269" ht="22" customHeight="1">
      <x:c r="A269" s="92" t="str"/>
      <x:c r="B269" s="94" t="str">
        <x:f>IFERROR(INDEX(Employees!$A$2:$A$500,MATCH(A269,Employees!$B$2:$B$500,0)),"")</x:f>
      </x:c>
      <x:c r="C269" s="45"/>
      <x:c r="D269" s="43" t="str">
        <x:f>IFERROR(VLOOKUP(C269,Employees!$A$2:$B$500,2,FALSE),"")</x:f>
      </x:c>
      <x:c r="E269" s="42"/>
      <x:c r="F269" s="105"/>
      <x:c r="G269" s="106"/>
    </x:row>
    <x:row r="270" ht="22" customHeight="1">
      <x:c r="A270" s="92" t="str"/>
      <x:c r="B270" s="94" t="str">
        <x:f>IFERROR(INDEX(Employees!$A$2:$A$500,MATCH(A270,Employees!$B$2:$B$500,0)),"")</x:f>
      </x:c>
      <x:c r="C270" s="45"/>
      <x:c r="D270" s="43" t="str">
        <x:f>IFERROR(VLOOKUP(C270,Employees!$A$2:$B$500,2,FALSE),"")</x:f>
      </x:c>
      <x:c r="E270" s="42"/>
      <x:c r="F270" s="105"/>
      <x:c r="G270" s="106"/>
    </x:row>
    <x:row r="271" ht="22" customHeight="1">
      <x:c r="A271" s="92" t="str"/>
      <x:c r="B271" s="94" t="str">
        <x:f>IFERROR(INDEX(Employees!$A$2:$A$500,MATCH(A271,Employees!$B$2:$B$500,0)),"")</x:f>
      </x:c>
      <x:c r="C271" s="45"/>
      <x:c r="D271" s="43" t="str">
        <x:f>IFERROR(VLOOKUP(C271,Employees!$A$2:$B$500,2,FALSE),"")</x:f>
      </x:c>
      <x:c r="E271" s="42"/>
      <x:c r="F271" s="105"/>
      <x:c r="G271" s="106"/>
    </x:row>
    <x:row r="272" ht="22" customHeight="1">
      <x:c r="A272" s="92" t="str"/>
      <x:c r="B272" s="94" t="str">
        <x:f>IFERROR(INDEX(Employees!$A$2:$A$500,MATCH(A272,Employees!$B$2:$B$500,0)),"")</x:f>
      </x:c>
      <x:c r="C272" s="45"/>
      <x:c r="D272" s="43" t="str">
        <x:f>IFERROR(VLOOKUP(C272,Employees!$A$2:$B$500,2,FALSE),"")</x:f>
      </x:c>
      <x:c r="E272" s="42"/>
      <x:c r="F272" s="105"/>
      <x:c r="G272" s="106"/>
    </x:row>
    <x:row r="273" ht="22" customHeight="1">
      <x:c r="A273" s="92" t="str"/>
      <x:c r="B273" s="94" t="str">
        <x:f>IFERROR(INDEX(Employees!$A$2:$A$500,MATCH(A273,Employees!$B$2:$B$500,0)),"")</x:f>
      </x:c>
      <x:c r="C273" s="45"/>
      <x:c r="D273" s="43" t="str">
        <x:f>IFERROR(VLOOKUP(C273,Employees!$A$2:$B$500,2,FALSE),"")</x:f>
      </x:c>
      <x:c r="E273" s="42"/>
      <x:c r="F273" s="105"/>
      <x:c r="G273" s="106"/>
    </x:row>
    <x:row r="274" ht="22" customHeight="1">
      <x:c r="A274" s="92" t="str"/>
      <x:c r="B274" s="94" t="str">
        <x:f>IFERROR(INDEX(Employees!$A$2:$A$500,MATCH(A274,Employees!$B$2:$B$500,0)),"")</x:f>
      </x:c>
      <x:c r="C274" s="45"/>
      <x:c r="D274" s="43" t="str">
        <x:f>IFERROR(VLOOKUP(C274,Employees!$A$2:$B$500,2,FALSE),"")</x:f>
      </x:c>
      <x:c r="E274" s="42"/>
      <x:c r="F274" s="105"/>
      <x:c r="G274" s="106"/>
    </x:row>
    <x:row r="275" ht="22" customHeight="1">
      <x:c r="A275" s="92" t="str"/>
      <x:c r="B275" s="94" t="str">
        <x:f>IFERROR(INDEX(Employees!$A$2:$A$500,MATCH(A275,Employees!$B$2:$B$500,0)),"")</x:f>
      </x:c>
      <x:c r="C275" s="45"/>
      <x:c r="D275" s="43" t="str">
        <x:f>IFERROR(VLOOKUP(C275,Employees!$A$2:$B$500,2,FALSE),"")</x:f>
      </x:c>
      <x:c r="E275" s="42"/>
      <x:c r="F275" s="105"/>
      <x:c r="G275" s="106"/>
    </x:row>
    <x:row r="276" ht="22" customHeight="1">
      <x:c r="A276" s="92" t="str"/>
      <x:c r="B276" s="94" t="str">
        <x:f>IFERROR(INDEX(Employees!$A$2:$A$500,MATCH(A276,Employees!$B$2:$B$500,0)),"")</x:f>
      </x:c>
      <x:c r="C276" s="45"/>
      <x:c r="D276" s="43" t="str">
        <x:f>IFERROR(VLOOKUP(C276,Employees!$A$2:$B$500,2,FALSE),"")</x:f>
      </x:c>
      <x:c r="E276" s="42"/>
      <x:c r="F276" s="105"/>
      <x:c r="G276" s="106"/>
    </x:row>
    <x:row r="277" ht="22" customHeight="1">
      <x:c r="A277" s="92" t="str"/>
      <x:c r="B277" s="94" t="str">
        <x:f>IFERROR(INDEX(Employees!$A$2:$A$500,MATCH(A277,Employees!$B$2:$B$500,0)),"")</x:f>
      </x:c>
      <x:c r="C277" s="45"/>
      <x:c r="D277" s="43" t="str">
        <x:f>IFERROR(VLOOKUP(C277,Employees!$A$2:$B$500,2,FALSE),"")</x:f>
      </x:c>
      <x:c r="E277" s="42"/>
      <x:c r="F277" s="105"/>
      <x:c r="G277" s="106"/>
    </x:row>
    <x:row r="278" ht="22" customHeight="1">
      <x:c r="A278" s="92" t="str"/>
      <x:c r="B278" s="94" t="str">
        <x:f>IFERROR(INDEX(Employees!$A$2:$A$500,MATCH(A278,Employees!$B$2:$B$500,0)),"")</x:f>
      </x:c>
      <x:c r="C278" s="45"/>
      <x:c r="D278" s="43" t="str">
        <x:f>IFERROR(VLOOKUP(C278,Employees!$A$2:$B$500,2,FALSE),"")</x:f>
      </x:c>
      <x:c r="E278" s="42"/>
      <x:c r="F278" s="105"/>
      <x:c r="G278" s="106"/>
    </x:row>
    <x:row r="279" ht="22" customHeight="1">
      <x:c r="A279" s="92" t="str"/>
      <x:c r="B279" s="94" t="str">
        <x:f>IFERROR(INDEX(Employees!$A$2:$A$500,MATCH(A279,Employees!$B$2:$B$500,0)),"")</x:f>
      </x:c>
      <x:c r="C279" s="45"/>
      <x:c r="D279" s="43" t="str">
        <x:f>IFERROR(VLOOKUP(C279,Employees!$A$2:$B$500,2,FALSE),"")</x:f>
      </x:c>
      <x:c r="E279" s="42"/>
      <x:c r="F279" s="105"/>
      <x:c r="G279" s="106"/>
    </x:row>
    <x:row r="280" ht="22" customHeight="1">
      <x:c r="A280" s="92" t="str"/>
      <x:c r="B280" s="94" t="str">
        <x:f>IFERROR(INDEX(Employees!$A$2:$A$500,MATCH(A280,Employees!$B$2:$B$500,0)),"")</x:f>
      </x:c>
      <x:c r="C280" s="45"/>
      <x:c r="D280" s="43" t="str">
        <x:f>IFERROR(VLOOKUP(C280,Employees!$A$2:$B$500,2,FALSE),"")</x:f>
      </x:c>
      <x:c r="E280" s="42"/>
      <x:c r="F280" s="105"/>
      <x:c r="G280" s="106"/>
    </x:row>
    <x:row r="281" ht="22" customHeight="1">
      <x:c r="A281" s="92" t="str"/>
      <x:c r="B281" s="94" t="str">
        <x:f>IFERROR(INDEX(Employees!$A$2:$A$500,MATCH(A281,Employees!$B$2:$B$500,0)),"")</x:f>
      </x:c>
      <x:c r="C281" s="45"/>
      <x:c r="D281" s="43" t="str">
        <x:f>IFERROR(VLOOKUP(C281,Employees!$A$2:$B$500,2,FALSE),"")</x:f>
      </x:c>
      <x:c r="E281" s="42"/>
      <x:c r="F281" s="105"/>
      <x:c r="G281" s="106"/>
    </x:row>
    <x:row r="282" ht="22" customHeight="1">
      <x:c r="A282" s="92" t="str"/>
      <x:c r="B282" s="94" t="str">
        <x:f>IFERROR(INDEX(Employees!$A$2:$A$500,MATCH(A282,Employees!$B$2:$B$500,0)),"")</x:f>
      </x:c>
      <x:c r="C282" s="45"/>
      <x:c r="D282" s="43" t="str">
        <x:f>IFERROR(VLOOKUP(C282,Employees!$A$2:$B$500,2,FALSE),"")</x:f>
      </x:c>
      <x:c r="E282" s="42"/>
      <x:c r="F282" s="105"/>
      <x:c r="G282" s="106"/>
    </x:row>
    <x:row r="283" ht="22" customHeight="1">
      <x:c r="A283" s="92" t="str"/>
      <x:c r="B283" s="94" t="str">
        <x:f>IFERROR(INDEX(Employees!$A$2:$A$500,MATCH(A283,Employees!$B$2:$B$500,0)),"")</x:f>
      </x:c>
      <x:c r="C283" s="45"/>
      <x:c r="D283" s="43" t="str">
        <x:f>IFERROR(VLOOKUP(C283,Employees!$A$2:$B$500,2,FALSE),"")</x:f>
      </x:c>
      <x:c r="E283" s="42"/>
      <x:c r="F283" s="105"/>
      <x:c r="G283" s="106"/>
    </x:row>
    <x:row r="284" ht="22" customHeight="1">
      <x:c r="A284" s="92" t="str"/>
      <x:c r="B284" s="94" t="str">
        <x:f>IFERROR(INDEX(Employees!$A$2:$A$500,MATCH(A284,Employees!$B$2:$B$500,0)),"")</x:f>
      </x:c>
      <x:c r="C284" s="45"/>
      <x:c r="D284" s="43" t="str">
        <x:f>IFERROR(VLOOKUP(C284,Employees!$A$2:$B$500,2,FALSE),"")</x:f>
      </x:c>
      <x:c r="E284" s="42"/>
      <x:c r="F284" s="105"/>
      <x:c r="G284" s="106"/>
    </x:row>
    <x:row r="285" ht="22" customHeight="1">
      <x:c r="A285" s="92" t="str"/>
      <x:c r="B285" s="94" t="str">
        <x:f>IFERROR(INDEX(Employees!$A$2:$A$500,MATCH(A285,Employees!$B$2:$B$500,0)),"")</x:f>
      </x:c>
      <x:c r="C285" s="45"/>
      <x:c r="D285" s="43" t="str">
        <x:f>IFERROR(VLOOKUP(C285,Employees!$A$2:$B$500,2,FALSE),"")</x:f>
      </x:c>
      <x:c r="E285" s="42"/>
      <x:c r="F285" s="105"/>
      <x:c r="G285" s="106"/>
    </x:row>
    <x:row r="286" ht="22" customHeight="1">
      <x:c r="A286" s="92" t="str"/>
      <x:c r="B286" s="94" t="str">
        <x:f>IFERROR(INDEX(Employees!$A$2:$A$500,MATCH(A286,Employees!$B$2:$B$500,0)),"")</x:f>
      </x:c>
      <x:c r="C286" s="45"/>
      <x:c r="D286" s="43" t="str">
        <x:f>IFERROR(VLOOKUP(C286,Employees!$A$2:$B$500,2,FALSE),"")</x:f>
      </x:c>
      <x:c r="E286" s="42"/>
      <x:c r="F286" s="105"/>
      <x:c r="G286" s="106"/>
    </x:row>
    <x:row r="287" ht="22" customHeight="1">
      <x:c r="A287" s="92" t="str"/>
      <x:c r="B287" s="94" t="str">
        <x:f>IFERROR(INDEX(Employees!$A$2:$A$500,MATCH(A287,Employees!$B$2:$B$500,0)),"")</x:f>
      </x:c>
      <x:c r="C287" s="45"/>
      <x:c r="D287" s="43" t="str">
        <x:f>IFERROR(VLOOKUP(C287,Employees!$A$2:$B$500,2,FALSE),"")</x:f>
      </x:c>
      <x:c r="E287" s="42"/>
      <x:c r="F287" s="105"/>
      <x:c r="G287" s="106"/>
    </x:row>
    <x:row r="288" ht="22" customHeight="1">
      <x:c r="A288" s="92" t="str"/>
      <x:c r="B288" s="94" t="str">
        <x:f>IFERROR(INDEX(Employees!$A$2:$A$500,MATCH(A288,Employees!$B$2:$B$500,0)),"")</x:f>
      </x:c>
      <x:c r="C288" s="45"/>
      <x:c r="D288" s="43" t="str">
        <x:f>IFERROR(VLOOKUP(C288,Employees!$A$2:$B$500,2,FALSE),"")</x:f>
      </x:c>
      <x:c r="E288" s="42"/>
      <x:c r="F288" s="105"/>
      <x:c r="G288" s="106"/>
    </x:row>
    <x:row r="289" ht="22" customHeight="1">
      <x:c r="A289" s="92" t="str"/>
      <x:c r="B289" s="94" t="str">
        <x:f>IFERROR(INDEX(Employees!$A$2:$A$500,MATCH(A289,Employees!$B$2:$B$500,0)),"")</x:f>
      </x:c>
      <x:c r="C289" s="45"/>
      <x:c r="D289" s="43" t="str">
        <x:f>IFERROR(VLOOKUP(C289,Employees!$A$2:$B$500,2,FALSE),"")</x:f>
      </x:c>
      <x:c r="E289" s="42"/>
      <x:c r="F289" s="105"/>
      <x:c r="G289" s="106"/>
    </x:row>
    <x:row r="290" ht="22" customHeight="1">
      <x:c r="A290" s="92" t="str"/>
      <x:c r="B290" s="94" t="str">
        <x:f>IFERROR(INDEX(Employees!$A$2:$A$500,MATCH(A290,Employees!$B$2:$B$500,0)),"")</x:f>
      </x:c>
      <x:c r="C290" s="45"/>
      <x:c r="D290" s="43" t="str">
        <x:f>IFERROR(VLOOKUP(C290,Employees!$A$2:$B$500,2,FALSE),"")</x:f>
      </x:c>
      <x:c r="E290" s="42"/>
      <x:c r="F290" s="105"/>
      <x:c r="G290" s="106"/>
    </x:row>
    <x:row r="291" ht="22" customHeight="1">
      <x:c r="A291" s="92" t="str"/>
      <x:c r="B291" s="94" t="str">
        <x:f>IFERROR(INDEX(Employees!$A$2:$A$500,MATCH(A291,Employees!$B$2:$B$500,0)),"")</x:f>
      </x:c>
      <x:c r="C291" s="45"/>
      <x:c r="D291" s="43" t="str">
        <x:f>IFERROR(VLOOKUP(C291,Employees!$A$2:$B$500,2,FALSE),"")</x:f>
      </x:c>
      <x:c r="E291" s="42"/>
      <x:c r="F291" s="105"/>
      <x:c r="G291" s="106"/>
    </x:row>
    <x:row r="292" ht="22" customHeight="1">
      <x:c r="A292" s="92" t="str"/>
      <x:c r="B292" s="94" t="str">
        <x:f>IFERROR(INDEX(Employees!$A$2:$A$500,MATCH(A292,Employees!$B$2:$B$500,0)),"")</x:f>
      </x:c>
      <x:c r="C292" s="45"/>
      <x:c r="D292" s="43" t="str">
        <x:f>IFERROR(VLOOKUP(C292,Employees!$A$2:$B$500,2,FALSE),"")</x:f>
      </x:c>
      <x:c r="E292" s="42"/>
      <x:c r="F292" s="105"/>
      <x:c r="G292" s="106"/>
    </x:row>
    <x:row r="293" ht="22" customHeight="1">
      <x:c r="A293" s="92" t="str"/>
      <x:c r="B293" s="94" t="str">
        <x:f>IFERROR(INDEX(Employees!$A$2:$A$500,MATCH(A293,Employees!$B$2:$B$500,0)),"")</x:f>
      </x:c>
      <x:c r="C293" s="45"/>
      <x:c r="D293" s="43" t="str">
        <x:f>IFERROR(VLOOKUP(C293,Employees!$A$2:$B$500,2,FALSE),"")</x:f>
      </x:c>
      <x:c r="E293" s="42"/>
      <x:c r="F293" s="105"/>
      <x:c r="G293" s="106"/>
    </x:row>
    <x:row r="294" ht="22" customHeight="1">
      <x:c r="A294" s="92" t="str"/>
      <x:c r="B294" s="94" t="str">
        <x:f>IFERROR(INDEX(Employees!$A$2:$A$500,MATCH(A294,Employees!$B$2:$B$500,0)),"")</x:f>
      </x:c>
      <x:c r="C294" s="45"/>
      <x:c r="D294" s="43" t="str">
        <x:f>IFERROR(VLOOKUP(C294,Employees!$A$2:$B$500,2,FALSE),"")</x:f>
      </x:c>
      <x:c r="E294" s="42"/>
      <x:c r="F294" s="105"/>
      <x:c r="G294" s="106"/>
    </x:row>
    <x:row r="295" ht="22" customHeight="1">
      <x:c r="A295" s="92" t="str"/>
      <x:c r="B295" s="94" t="str">
        <x:f>IFERROR(INDEX(Employees!$A$2:$A$500,MATCH(A295,Employees!$B$2:$B$500,0)),"")</x:f>
      </x:c>
      <x:c r="C295" s="45"/>
      <x:c r="D295" s="43" t="str">
        <x:f>IFERROR(VLOOKUP(C295,Employees!$A$2:$B$500,2,FALSE),"")</x:f>
      </x:c>
      <x:c r="E295" s="42"/>
      <x:c r="F295" s="105"/>
      <x:c r="G295" s="106"/>
    </x:row>
    <x:row r="296" ht="22" customHeight="1">
      <x:c r="A296" s="92" t="str"/>
      <x:c r="B296" s="94" t="str">
        <x:f>IFERROR(INDEX(Employees!$A$2:$A$500,MATCH(A296,Employees!$B$2:$B$500,0)),"")</x:f>
      </x:c>
      <x:c r="C296" s="45"/>
      <x:c r="D296" s="43" t="str">
        <x:f>IFERROR(VLOOKUP(C296,Employees!$A$2:$B$500,2,FALSE),"")</x:f>
      </x:c>
      <x:c r="E296" s="42"/>
      <x:c r="F296" s="105"/>
      <x:c r="G296" s="106"/>
    </x:row>
    <x:row r="297" ht="22" customHeight="1">
      <x:c r="A297" s="92" t="str"/>
      <x:c r="B297" s="94" t="str">
        <x:f>IFERROR(INDEX(Employees!$A$2:$A$500,MATCH(A297,Employees!$B$2:$B$500,0)),"")</x:f>
      </x:c>
      <x:c r="C297" s="45"/>
      <x:c r="D297" s="43" t="str">
        <x:f>IFERROR(VLOOKUP(C297,Employees!$A$2:$B$500,2,FALSE),"")</x:f>
      </x:c>
      <x:c r="E297" s="42"/>
      <x:c r="F297" s="105"/>
      <x:c r="G297" s="106"/>
    </x:row>
    <x:row r="298" ht="22" customHeight="1">
      <x:c r="A298" s="92" t="str"/>
      <x:c r="B298" s="94" t="str">
        <x:f>IFERROR(INDEX(Employees!$A$2:$A$500,MATCH(A298,Employees!$B$2:$B$500,0)),"")</x:f>
      </x:c>
      <x:c r="C298" s="45"/>
      <x:c r="D298" s="43" t="str">
        <x:f>IFERROR(VLOOKUP(C298,Employees!$A$2:$B$500,2,FALSE),"")</x:f>
      </x:c>
      <x:c r="E298" s="42"/>
      <x:c r="F298" s="105"/>
      <x:c r="G298" s="106"/>
    </x:row>
    <x:row r="299" ht="22" customHeight="1">
      <x:c r="A299" s="92" t="str"/>
      <x:c r="B299" s="94" t="str">
        <x:f>IFERROR(INDEX(Employees!$A$2:$A$500,MATCH(A299,Employees!$B$2:$B$500,0)),"")</x:f>
      </x:c>
      <x:c r="C299" s="45"/>
      <x:c r="D299" s="43" t="str">
        <x:f>IFERROR(VLOOKUP(C299,Employees!$A$2:$B$500,2,FALSE),"")</x:f>
      </x:c>
      <x:c r="E299" s="42"/>
      <x:c r="F299" s="105"/>
      <x:c r="G299" s="106"/>
    </x:row>
    <x:row r="300" ht="22" customHeight="1">
      <x:c r="A300" s="92" t="str"/>
      <x:c r="B300" s="94" t="str">
        <x:f>IFERROR(INDEX(Employees!$A$2:$A$500,MATCH(A300,Employees!$B$2:$B$500,0)),"")</x:f>
      </x:c>
      <x:c r="C300" s="45"/>
      <x:c r="D300" s="43" t="str">
        <x:f>IFERROR(VLOOKUP(C300,Employees!$A$2:$B$500,2,FALSE),"")</x:f>
      </x:c>
      <x:c r="E300" s="42"/>
      <x:c r="F300" s="105"/>
      <x:c r="G300" s="106"/>
    </x:row>
    <x:row r="301" ht="22" customHeight="1">
      <x:c r="A301" s="92" t="str"/>
      <x:c r="B301" s="94" t="str">
        <x:f>IFERROR(INDEX(Employees!$A$2:$A$500,MATCH(A301,Employees!$B$2:$B$500,0)),"")</x:f>
      </x:c>
      <x:c r="C301" s="45"/>
      <x:c r="D301" s="43" t="str">
        <x:f>IFERROR(VLOOKUP(C301,Employees!$A$2:$B$500,2,FALSE),"")</x:f>
      </x:c>
      <x:c r="E301" s="42"/>
      <x:c r="F301" s="105"/>
      <x:c r="G301" s="106"/>
    </x:row>
    <x:row r="302" ht="22" customHeight="1">
      <x:c r="A302" s="92" t="str"/>
      <x:c r="B302" s="94" t="str">
        <x:f>IFERROR(INDEX(Employees!$A$2:$A$500,MATCH(A302,Employees!$B$2:$B$500,0)),"")</x:f>
      </x:c>
      <x:c r="C302" s="45"/>
      <x:c r="D302" s="43" t="str">
        <x:f>IFERROR(VLOOKUP(C302,Employees!$A$2:$B$500,2,FALSE),"")</x:f>
      </x:c>
      <x:c r="E302" s="42"/>
      <x:c r="F302" s="105"/>
      <x:c r="G302" s="106"/>
    </x:row>
    <x:row r="303" ht="22" customHeight="1">
      <x:c r="A303" s="92" t="str"/>
      <x:c r="B303" s="94" t="str">
        <x:f>IFERROR(INDEX(Employees!$A$2:$A$500,MATCH(A303,Employees!$B$2:$B$500,0)),"")</x:f>
      </x:c>
      <x:c r="C303" s="45"/>
      <x:c r="D303" s="43" t="str">
        <x:f>IFERROR(VLOOKUP(C303,Employees!$A$2:$B$500,2,FALSE),"")</x:f>
      </x:c>
      <x:c r="E303" s="42"/>
      <x:c r="F303" s="105"/>
      <x:c r="G303" s="106"/>
    </x:row>
    <x:row r="304" ht="22" customHeight="1">
      <x:c r="A304" s="92" t="str"/>
      <x:c r="B304" s="94" t="str">
        <x:f>IFERROR(INDEX(Employees!$A$2:$A$500,MATCH(A304,Employees!$B$2:$B$500,0)),"")</x:f>
      </x:c>
      <x:c r="C304" s="45"/>
      <x:c r="D304" s="43" t="str">
        <x:f>IFERROR(VLOOKUP(C304,Employees!$A$2:$B$500,2,FALSE),"")</x:f>
      </x:c>
      <x:c r="E304" s="42"/>
      <x:c r="F304" s="105"/>
      <x:c r="G304" s="106"/>
    </x:row>
    <x:row r="305" ht="22" customHeight="1">
      <x:c r="A305" s="92" t="str"/>
      <x:c r="B305" s="94" t="str">
        <x:f>IFERROR(INDEX(Employees!$A$2:$A$500,MATCH(A305,Employees!$B$2:$B$500,0)),"")</x:f>
      </x:c>
      <x:c r="C305" s="45"/>
      <x:c r="D305" s="43" t="str">
        <x:f>IFERROR(VLOOKUP(C305,Employees!$A$2:$B$500,2,FALSE),"")</x:f>
      </x:c>
      <x:c r="E305" s="42"/>
      <x:c r="F305" s="105"/>
      <x:c r="G305" s="106"/>
    </x:row>
    <x:row r="306" ht="22" customHeight="1">
      <x:c r="A306" s="92" t="str"/>
      <x:c r="B306" s="94" t="str">
        <x:f>IFERROR(INDEX(Employees!$A$2:$A$500,MATCH(A306,Employees!$B$2:$B$500,0)),"")</x:f>
      </x:c>
      <x:c r="C306" s="45"/>
      <x:c r="D306" s="43" t="str">
        <x:f>IFERROR(VLOOKUP(C306,Employees!$A$2:$B$500,2,FALSE),"")</x:f>
      </x:c>
      <x:c r="E306" s="42"/>
      <x:c r="F306" s="105"/>
      <x:c r="G306" s="106"/>
    </x:row>
    <x:row r="307" ht="22" customHeight="1">
      <x:c r="A307" s="92" t="str"/>
      <x:c r="B307" s="94" t="str">
        <x:f>IFERROR(INDEX(Employees!$A$2:$A$500,MATCH(A307,Employees!$B$2:$B$500,0)),"")</x:f>
      </x:c>
      <x:c r="C307" s="45"/>
      <x:c r="D307" s="43" t="str">
        <x:f>IFERROR(VLOOKUP(C307,Employees!$A$2:$B$500,2,FALSE),"")</x:f>
      </x:c>
      <x:c r="E307" s="42"/>
      <x:c r="F307" s="105"/>
      <x:c r="G307" s="106"/>
    </x:row>
    <x:row r="308" ht="22" customHeight="1">
      <x:c r="A308" s="92" t="str"/>
      <x:c r="B308" s="94" t="str">
        <x:f>IFERROR(INDEX(Employees!$A$2:$A$500,MATCH(A308,Employees!$B$2:$B$500,0)),"")</x:f>
      </x:c>
      <x:c r="C308" s="45"/>
      <x:c r="D308" s="43" t="str">
        <x:f>IFERROR(VLOOKUP(C308,Employees!$A$2:$B$500,2,FALSE),"")</x:f>
      </x:c>
      <x:c r="E308" s="42"/>
      <x:c r="F308" s="105"/>
      <x:c r="G308" s="106"/>
    </x:row>
    <x:row r="309" ht="22" customHeight="1">
      <x:c r="A309" s="92" t="str"/>
      <x:c r="B309" s="94" t="str">
        <x:f>IFERROR(INDEX(Employees!$A$2:$A$500,MATCH(A309,Employees!$B$2:$B$500,0)),"")</x:f>
      </x:c>
      <x:c r="C309" s="45"/>
      <x:c r="D309" s="43" t="str">
        <x:f>IFERROR(VLOOKUP(C309,Employees!$A$2:$B$500,2,FALSE),"")</x:f>
      </x:c>
      <x:c r="E309" s="42"/>
      <x:c r="F309" s="105"/>
      <x:c r="G309" s="106"/>
    </x:row>
    <x:row r="310" ht="22" customHeight="1">
      <x:c r="A310" s="92" t="str"/>
      <x:c r="B310" s="94" t="str">
        <x:f>IFERROR(INDEX(Employees!$A$2:$A$500,MATCH(A310,Employees!$B$2:$B$500,0)),"")</x:f>
      </x:c>
      <x:c r="C310" s="45"/>
      <x:c r="D310" s="43" t="str">
        <x:f>IFERROR(VLOOKUP(C310,Employees!$A$2:$B$500,2,FALSE),"")</x:f>
      </x:c>
      <x:c r="E310" s="42"/>
      <x:c r="F310" s="105"/>
      <x:c r="G310" s="106"/>
    </x:row>
    <x:row r="311" ht="22" customHeight="1">
      <x:c r="A311" s="92" t="str"/>
      <x:c r="B311" s="94" t="str">
        <x:f>IFERROR(INDEX(Employees!$A$2:$A$500,MATCH(A311,Employees!$B$2:$B$500,0)),"")</x:f>
      </x:c>
      <x:c r="C311" s="45"/>
      <x:c r="D311" s="43" t="str">
        <x:f>IFERROR(VLOOKUP(C311,Employees!$A$2:$B$500,2,FALSE),"")</x:f>
      </x:c>
      <x:c r="E311" s="42"/>
      <x:c r="F311" s="105"/>
      <x:c r="G311" s="106"/>
    </x:row>
    <x:row r="312" ht="22" customHeight="1">
      <x:c r="A312" s="92" t="str"/>
      <x:c r="B312" s="94" t="str">
        <x:f>IFERROR(INDEX(Employees!$A$2:$A$500,MATCH(A312,Employees!$B$2:$B$500,0)),"")</x:f>
      </x:c>
      <x:c r="C312" s="45"/>
      <x:c r="D312" s="43" t="str">
        <x:f>IFERROR(VLOOKUP(C312,Employees!$A$2:$B$500,2,FALSE),"")</x:f>
      </x:c>
      <x:c r="E312" s="42"/>
      <x:c r="F312" s="105"/>
      <x:c r="G312" s="106"/>
    </x:row>
    <x:row r="313" ht="22" customHeight="1">
      <x:c r="A313" s="92" t="str"/>
      <x:c r="B313" s="94" t="str">
        <x:f>IFERROR(INDEX(Employees!$A$2:$A$500,MATCH(A313,Employees!$B$2:$B$500,0)),"")</x:f>
      </x:c>
      <x:c r="C313" s="45"/>
      <x:c r="D313" s="43" t="str">
        <x:f>IFERROR(VLOOKUP(C313,Employees!$A$2:$B$500,2,FALSE),"")</x:f>
      </x:c>
      <x:c r="E313" s="42"/>
      <x:c r="F313" s="105"/>
      <x:c r="G313" s="106"/>
    </x:row>
    <x:row r="314" ht="22" customHeight="1">
      <x:c r="A314" s="92" t="str"/>
      <x:c r="B314" s="94" t="str">
        <x:f>IFERROR(INDEX(Employees!$A$2:$A$500,MATCH(A314,Employees!$B$2:$B$500,0)),"")</x:f>
      </x:c>
      <x:c r="C314" s="45"/>
      <x:c r="D314" s="43" t="str">
        <x:f>IFERROR(VLOOKUP(C314,Employees!$A$2:$B$500,2,FALSE),"")</x:f>
      </x:c>
      <x:c r="E314" s="42"/>
      <x:c r="F314" s="105"/>
      <x:c r="G314" s="106"/>
    </x:row>
    <x:row r="315" ht="22" customHeight="1">
      <x:c r="A315" s="92" t="str"/>
      <x:c r="B315" s="94" t="str">
        <x:f>IFERROR(INDEX(Employees!$A$2:$A$500,MATCH(A315,Employees!$B$2:$B$500,0)),"")</x:f>
      </x:c>
      <x:c r="C315" s="45"/>
      <x:c r="D315" s="43" t="str">
        <x:f>IFERROR(VLOOKUP(C315,Employees!$A$2:$B$500,2,FALSE),"")</x:f>
      </x:c>
      <x:c r="E315" s="42"/>
      <x:c r="F315" s="105"/>
      <x:c r="G315" s="106"/>
    </x:row>
    <x:row r="316" ht="22" customHeight="1">
      <x:c r="A316" s="92" t="str"/>
      <x:c r="B316" s="94" t="str">
        <x:f>IFERROR(INDEX(Employees!$A$2:$A$500,MATCH(A316,Employees!$B$2:$B$500,0)),"")</x:f>
      </x:c>
      <x:c r="C316" s="45"/>
      <x:c r="D316" s="43" t="str">
        <x:f>IFERROR(VLOOKUP(C316,Employees!$A$2:$B$500,2,FALSE),"")</x:f>
      </x:c>
      <x:c r="E316" s="42"/>
      <x:c r="F316" s="105"/>
      <x:c r="G316" s="106"/>
    </x:row>
    <x:row r="317" ht="22" customHeight="1">
      <x:c r="A317" s="92" t="str"/>
      <x:c r="B317" s="94" t="str">
        <x:f>IFERROR(INDEX(Employees!$A$2:$A$500,MATCH(A317,Employees!$B$2:$B$500,0)),"")</x:f>
      </x:c>
      <x:c r="C317" s="45"/>
      <x:c r="D317" s="43" t="str">
        <x:f>IFERROR(VLOOKUP(C317,Employees!$A$2:$B$500,2,FALSE),"")</x:f>
      </x:c>
      <x:c r="E317" s="42"/>
      <x:c r="F317" s="105"/>
      <x:c r="G317" s="106"/>
    </x:row>
    <x:row r="318" ht="22" customHeight="1">
      <x:c r="A318" s="92" t="str"/>
      <x:c r="B318" s="94" t="str">
        <x:f>IFERROR(INDEX(Employees!$A$2:$A$500,MATCH(A318,Employees!$B$2:$B$500,0)),"")</x:f>
      </x:c>
      <x:c r="C318" s="45"/>
      <x:c r="D318" s="43" t="str">
        <x:f>IFERROR(VLOOKUP(C318,Employees!$A$2:$B$500,2,FALSE),"")</x:f>
      </x:c>
      <x:c r="E318" s="42"/>
      <x:c r="F318" s="105"/>
      <x:c r="G318" s="106"/>
    </x:row>
    <x:row r="319" ht="22" customHeight="1">
      <x:c r="A319" s="92" t="str"/>
      <x:c r="B319" s="94" t="str">
        <x:f>IFERROR(INDEX(Employees!$A$2:$A$500,MATCH(A319,Employees!$B$2:$B$500,0)),"")</x:f>
      </x:c>
      <x:c r="C319" s="45"/>
      <x:c r="D319" s="43" t="str">
        <x:f>IFERROR(VLOOKUP(C319,Employees!$A$2:$B$500,2,FALSE),"")</x:f>
      </x:c>
      <x:c r="E319" s="42"/>
      <x:c r="F319" s="105"/>
      <x:c r="G319" s="106"/>
    </x:row>
    <x:row r="320" ht="22" customHeight="1">
      <x:c r="A320" s="92" t="str"/>
      <x:c r="B320" s="94" t="str">
        <x:f>IFERROR(INDEX(Employees!$A$2:$A$500,MATCH(A320,Employees!$B$2:$B$500,0)),"")</x:f>
      </x:c>
      <x:c r="C320" s="45"/>
      <x:c r="D320" s="43" t="str">
        <x:f>IFERROR(VLOOKUP(C320,Employees!$A$2:$B$500,2,FALSE),"")</x:f>
      </x:c>
      <x:c r="E320" s="42"/>
      <x:c r="F320" s="105"/>
      <x:c r="G320" s="106"/>
    </x:row>
    <x:row r="321" ht="22" customHeight="1">
      <x:c r="A321" s="92" t="str"/>
      <x:c r="B321" s="94" t="str">
        <x:f>IFERROR(INDEX(Employees!$A$2:$A$500,MATCH(A321,Employees!$B$2:$B$500,0)),"")</x:f>
      </x:c>
      <x:c r="C321" s="45"/>
      <x:c r="D321" s="43" t="str">
        <x:f>IFERROR(VLOOKUP(C321,Employees!$A$2:$B$500,2,FALSE),"")</x:f>
      </x:c>
      <x:c r="E321" s="42"/>
      <x:c r="F321" s="105"/>
      <x:c r="G321" s="106"/>
    </x:row>
    <x:row r="322" ht="22" customHeight="1">
      <x:c r="A322" s="92" t="str"/>
      <x:c r="B322" s="94" t="str">
        <x:f>IFERROR(INDEX(Employees!$A$2:$A$500,MATCH(A322,Employees!$B$2:$B$500,0)),"")</x:f>
      </x:c>
      <x:c r="C322" s="45"/>
      <x:c r="D322" s="43" t="str">
        <x:f>IFERROR(VLOOKUP(C322,Employees!$A$2:$B$500,2,FALSE),"")</x:f>
      </x:c>
      <x:c r="E322" s="42"/>
      <x:c r="F322" s="105"/>
      <x:c r="G322" s="106"/>
    </x:row>
    <x:row r="323" ht="22" customHeight="1">
      <x:c r="A323" s="92" t="str"/>
      <x:c r="B323" s="94" t="str">
        <x:f>IFERROR(INDEX(Employees!$A$2:$A$500,MATCH(A323,Employees!$B$2:$B$500,0)),"")</x:f>
      </x:c>
      <x:c r="C323" s="45"/>
      <x:c r="D323" s="43" t="str">
        <x:f>IFERROR(VLOOKUP(C323,Employees!$A$2:$B$500,2,FALSE),"")</x:f>
      </x:c>
      <x:c r="E323" s="42"/>
      <x:c r="F323" s="105"/>
      <x:c r="G323" s="106"/>
    </x:row>
    <x:row r="324" ht="22" customHeight="1">
      <x:c r="A324" s="92" t="str"/>
      <x:c r="B324" s="94" t="str">
        <x:f>IFERROR(INDEX(Employees!$A$2:$A$500,MATCH(A324,Employees!$B$2:$B$500,0)),"")</x:f>
      </x:c>
      <x:c r="C324" s="45"/>
      <x:c r="D324" s="43" t="str">
        <x:f>IFERROR(VLOOKUP(C324,Employees!$A$2:$B$500,2,FALSE),"")</x:f>
      </x:c>
      <x:c r="E324" s="42"/>
      <x:c r="F324" s="105"/>
      <x:c r="G324" s="106"/>
    </x:row>
    <x:row r="325" ht="22" customHeight="1">
      <x:c r="A325" s="92" t="str"/>
      <x:c r="B325" s="94" t="str">
        <x:f>IFERROR(INDEX(Employees!$A$2:$A$500,MATCH(A325,Employees!$B$2:$B$500,0)),"")</x:f>
      </x:c>
      <x:c r="C325" s="45"/>
      <x:c r="D325" s="43" t="str">
        <x:f>IFERROR(VLOOKUP(C325,Employees!$A$2:$B$500,2,FALSE),"")</x:f>
      </x:c>
      <x:c r="E325" s="42"/>
      <x:c r="F325" s="105"/>
      <x:c r="G325" s="106"/>
    </x:row>
    <x:row r="326" ht="22" customHeight="1">
      <x:c r="A326" s="92" t="str"/>
      <x:c r="B326" s="94" t="str">
        <x:f>IFERROR(INDEX(Employees!$A$2:$A$500,MATCH(A326,Employees!$B$2:$B$500,0)),"")</x:f>
      </x:c>
      <x:c r="C326" s="45"/>
      <x:c r="D326" s="43" t="str">
        <x:f>IFERROR(VLOOKUP(C326,Employees!$A$2:$B$500,2,FALSE),"")</x:f>
      </x:c>
      <x:c r="E326" s="42"/>
      <x:c r="F326" s="105"/>
      <x:c r="G326" s="106"/>
    </x:row>
    <x:row r="327" ht="22" customHeight="1">
      <x:c r="A327" s="92" t="str"/>
      <x:c r="B327" s="94" t="str">
        <x:f>IFERROR(INDEX(Employees!$A$2:$A$500,MATCH(A327,Employees!$B$2:$B$500,0)),"")</x:f>
      </x:c>
      <x:c r="C327" s="45"/>
      <x:c r="D327" s="43" t="str">
        <x:f>IFERROR(VLOOKUP(C327,Employees!$A$2:$B$500,2,FALSE),"")</x:f>
      </x:c>
      <x:c r="E327" s="42"/>
      <x:c r="F327" s="105"/>
      <x:c r="G327" s="106"/>
    </x:row>
    <x:row r="328" ht="22" customHeight="1">
      <x:c r="A328" s="92" t="str"/>
      <x:c r="B328" s="94" t="str">
        <x:f>IFERROR(INDEX(Employees!$A$2:$A$500,MATCH(A328,Employees!$B$2:$B$500,0)),"")</x:f>
      </x:c>
      <x:c r="C328" s="45"/>
      <x:c r="D328" s="43" t="str">
        <x:f>IFERROR(VLOOKUP(C328,Employees!$A$2:$B$500,2,FALSE),"")</x:f>
      </x:c>
      <x:c r="E328" s="42"/>
      <x:c r="F328" s="105"/>
      <x:c r="G328" s="106"/>
    </x:row>
    <x:row r="329" ht="22" customHeight="1">
      <x:c r="A329" s="92" t="str"/>
      <x:c r="B329" s="94" t="str">
        <x:f>IFERROR(INDEX(Employees!$A$2:$A$500,MATCH(A329,Employees!$B$2:$B$500,0)),"")</x:f>
      </x:c>
      <x:c r="C329" s="45"/>
      <x:c r="D329" s="43" t="str">
        <x:f>IFERROR(VLOOKUP(C329,Employees!$A$2:$B$500,2,FALSE),"")</x:f>
      </x:c>
      <x:c r="E329" s="42"/>
      <x:c r="F329" s="105"/>
      <x:c r="G329" s="106"/>
    </x:row>
    <x:row r="330" ht="22" customHeight="1">
      <x:c r="A330" s="92" t="str"/>
      <x:c r="B330" s="94" t="str">
        <x:f>IFERROR(INDEX(Employees!$A$2:$A$500,MATCH(A330,Employees!$B$2:$B$500,0)),"")</x:f>
      </x:c>
      <x:c r="C330" s="45"/>
      <x:c r="D330" s="43" t="str">
        <x:f>IFERROR(VLOOKUP(C330,Employees!$A$2:$B$500,2,FALSE),"")</x:f>
      </x:c>
      <x:c r="E330" s="42"/>
      <x:c r="F330" s="105"/>
      <x:c r="G330" s="106"/>
    </x:row>
    <x:row r="331" ht="22" customHeight="1">
      <x:c r="A331" s="92" t="str"/>
      <x:c r="B331" s="94" t="str">
        <x:f>IFERROR(INDEX(Employees!$A$2:$A$500,MATCH(A331,Employees!$B$2:$B$500,0)),"")</x:f>
      </x:c>
      <x:c r="C331" s="45"/>
      <x:c r="D331" s="43" t="str">
        <x:f>IFERROR(VLOOKUP(C331,Employees!$A$2:$B$500,2,FALSE),"")</x:f>
      </x:c>
      <x:c r="E331" s="42"/>
      <x:c r="F331" s="105"/>
      <x:c r="G331" s="106"/>
    </x:row>
    <x:row r="332" ht="22" customHeight="1">
      <x:c r="A332" s="92" t="str"/>
      <x:c r="B332" s="94" t="str">
        <x:f>IFERROR(INDEX(Employees!$A$2:$A$500,MATCH(A332,Employees!$B$2:$B$500,0)),"")</x:f>
      </x:c>
      <x:c r="C332" s="45"/>
      <x:c r="D332" s="43" t="str">
        <x:f>IFERROR(VLOOKUP(C332,Employees!$A$2:$B$500,2,FALSE),"")</x:f>
      </x:c>
      <x:c r="E332" s="42"/>
      <x:c r="F332" s="105"/>
      <x:c r="G332" s="106"/>
    </x:row>
    <x:row r="333" ht="22" customHeight="1">
      <x:c r="A333" s="92" t="str"/>
      <x:c r="B333" s="94" t="str">
        <x:f>IFERROR(INDEX(Employees!$A$2:$A$500,MATCH(A333,Employees!$B$2:$B$500,0)),"")</x:f>
      </x:c>
      <x:c r="C333" s="45"/>
      <x:c r="D333" s="43" t="str">
        <x:f>IFERROR(VLOOKUP(C333,Employees!$A$2:$B$500,2,FALSE),"")</x:f>
      </x:c>
      <x:c r="E333" s="42"/>
      <x:c r="F333" s="105"/>
      <x:c r="G333" s="106"/>
    </x:row>
    <x:row r="334" ht="22" customHeight="1">
      <x:c r="A334" s="92" t="str"/>
      <x:c r="B334" s="94" t="str">
        <x:f>IFERROR(INDEX(Employees!$A$2:$A$500,MATCH(A334,Employees!$B$2:$B$500,0)),"")</x:f>
      </x:c>
      <x:c r="C334" s="45"/>
      <x:c r="D334" s="43" t="str">
        <x:f>IFERROR(VLOOKUP(C334,Employees!$A$2:$B$500,2,FALSE),"")</x:f>
      </x:c>
      <x:c r="E334" s="42"/>
      <x:c r="F334" s="105"/>
      <x:c r="G334" s="106"/>
    </x:row>
    <x:row r="335" ht="22" customHeight="1">
      <x:c r="A335" s="92" t="str"/>
      <x:c r="B335" s="94" t="str">
        <x:f>IFERROR(INDEX(Employees!$A$2:$A$500,MATCH(A335,Employees!$B$2:$B$500,0)),"")</x:f>
      </x:c>
      <x:c r="C335" s="45"/>
      <x:c r="D335" s="43" t="str">
        <x:f>IFERROR(VLOOKUP(C335,Employees!$A$2:$B$500,2,FALSE),"")</x:f>
      </x:c>
      <x:c r="E335" s="42"/>
      <x:c r="F335" s="105"/>
      <x:c r="G335" s="106"/>
    </x:row>
    <x:row r="336" ht="22" customHeight="1">
      <x:c r="A336" s="92" t="str"/>
      <x:c r="B336" s="94" t="str">
        <x:f>IFERROR(INDEX(Employees!$A$2:$A$500,MATCH(A336,Employees!$B$2:$B$500,0)),"")</x:f>
      </x:c>
      <x:c r="C336" s="45"/>
      <x:c r="D336" s="43" t="str">
        <x:f>IFERROR(VLOOKUP(C336,Employees!$A$2:$B$500,2,FALSE),"")</x:f>
      </x:c>
      <x:c r="E336" s="42"/>
      <x:c r="F336" s="105"/>
      <x:c r="G336" s="106"/>
    </x:row>
    <x:row r="337" ht="22" customHeight="1">
      <x:c r="A337" s="92" t="str"/>
      <x:c r="B337" s="94" t="str">
        <x:f>IFERROR(INDEX(Employees!$A$2:$A$500,MATCH(A337,Employees!$B$2:$B$500,0)),"")</x:f>
      </x:c>
      <x:c r="C337" s="45"/>
      <x:c r="D337" s="43" t="str">
        <x:f>IFERROR(VLOOKUP(C337,Employees!$A$2:$B$500,2,FALSE),"")</x:f>
      </x:c>
      <x:c r="E337" s="42"/>
      <x:c r="F337" s="105"/>
      <x:c r="G337" s="106"/>
    </x:row>
    <x:row r="338" ht="22" customHeight="1">
      <x:c r="A338" s="92" t="str"/>
      <x:c r="B338" s="94" t="str">
        <x:f>IFERROR(INDEX(Employees!$A$2:$A$500,MATCH(A338,Employees!$B$2:$B$500,0)),"")</x:f>
      </x:c>
      <x:c r="C338" s="45"/>
      <x:c r="D338" s="43" t="str">
        <x:f>IFERROR(VLOOKUP(C338,Employees!$A$2:$B$500,2,FALSE),"")</x:f>
      </x:c>
      <x:c r="E338" s="42"/>
      <x:c r="F338" s="105"/>
      <x:c r="G338" s="106"/>
    </x:row>
    <x:row r="339" ht="22" customHeight="1">
      <x:c r="A339" s="92" t="str"/>
      <x:c r="B339" s="94" t="str">
        <x:f>IFERROR(INDEX(Employees!$A$2:$A$500,MATCH(A339,Employees!$B$2:$B$500,0)),"")</x:f>
      </x:c>
      <x:c r="C339" s="45"/>
      <x:c r="D339" s="43" t="str">
        <x:f>IFERROR(VLOOKUP(C339,Employees!$A$2:$B$500,2,FALSE),"")</x:f>
      </x:c>
      <x:c r="E339" s="42"/>
      <x:c r="F339" s="105"/>
      <x:c r="G339" s="106"/>
    </x:row>
    <x:row r="340" ht="22" customHeight="1">
      <x:c r="A340" s="92" t="str"/>
      <x:c r="B340" s="94" t="str">
        <x:f>IFERROR(INDEX(Employees!$A$2:$A$500,MATCH(A340,Employees!$B$2:$B$500,0)),"")</x:f>
      </x:c>
      <x:c r="C340" s="45"/>
      <x:c r="D340" s="43" t="str">
        <x:f>IFERROR(VLOOKUP(C340,Employees!$A$2:$B$500,2,FALSE),"")</x:f>
      </x:c>
      <x:c r="E340" s="42"/>
      <x:c r="F340" s="105"/>
      <x:c r="G340" s="106"/>
    </x:row>
    <x:row r="341" ht="22" customHeight="1">
      <x:c r="A341" s="92" t="str"/>
      <x:c r="B341" s="94" t="str">
        <x:f>IFERROR(INDEX(Employees!$A$2:$A$500,MATCH(A341,Employees!$B$2:$B$500,0)),"")</x:f>
      </x:c>
      <x:c r="C341" s="45"/>
      <x:c r="D341" s="43" t="str">
        <x:f>IFERROR(VLOOKUP(C341,Employees!$A$2:$B$500,2,FALSE),"")</x:f>
      </x:c>
      <x:c r="E341" s="42"/>
      <x:c r="F341" s="105"/>
      <x:c r="G341" s="106"/>
    </x:row>
    <x:row r="342" ht="22" customHeight="1">
      <x:c r="A342" s="92" t="str"/>
      <x:c r="B342" s="94" t="str">
        <x:f>IFERROR(INDEX(Employees!$A$2:$A$500,MATCH(A342,Employees!$B$2:$B$500,0)),"")</x:f>
      </x:c>
      <x:c r="C342" s="45"/>
      <x:c r="D342" s="43" t="str">
        <x:f>IFERROR(VLOOKUP(C342,Employees!$A$2:$B$500,2,FALSE),"")</x:f>
      </x:c>
      <x:c r="E342" s="42"/>
      <x:c r="F342" s="105"/>
      <x:c r="G342" s="106"/>
    </x:row>
    <x:row r="343" ht="22" customHeight="1">
      <x:c r="A343" s="92" t="str"/>
      <x:c r="B343" s="94" t="str">
        <x:f>IFERROR(INDEX(Employees!$A$2:$A$500,MATCH(A343,Employees!$B$2:$B$500,0)),"")</x:f>
      </x:c>
      <x:c r="C343" s="45"/>
      <x:c r="D343" s="43" t="str">
        <x:f>IFERROR(VLOOKUP(C343,Employees!$A$2:$B$500,2,FALSE),"")</x:f>
      </x:c>
      <x:c r="E343" s="42"/>
      <x:c r="F343" s="105"/>
      <x:c r="G343" s="106"/>
    </x:row>
    <x:row r="344" ht="22" customHeight="1">
      <x:c r="A344" s="92" t="str"/>
      <x:c r="B344" s="94" t="str">
        <x:f>IFERROR(INDEX(Employees!$A$2:$A$500,MATCH(A344,Employees!$B$2:$B$500,0)),"")</x:f>
      </x:c>
      <x:c r="C344" s="45"/>
      <x:c r="D344" s="43" t="str">
        <x:f>IFERROR(VLOOKUP(C344,Employees!$A$2:$B$500,2,FALSE),"")</x:f>
      </x:c>
      <x:c r="E344" s="42"/>
      <x:c r="F344" s="105"/>
      <x:c r="G344" s="106"/>
    </x:row>
    <x:row r="345" ht="22" customHeight="1">
      <x:c r="A345" s="92" t="str"/>
      <x:c r="B345" s="94" t="str">
        <x:f>IFERROR(INDEX(Employees!$A$2:$A$500,MATCH(A345,Employees!$B$2:$B$500,0)),"")</x:f>
      </x:c>
      <x:c r="C345" s="45"/>
      <x:c r="D345" s="43" t="str">
        <x:f>IFERROR(VLOOKUP(C345,Employees!$A$2:$B$500,2,FALSE),"")</x:f>
      </x:c>
      <x:c r="E345" s="42"/>
      <x:c r="F345" s="105"/>
      <x:c r="G345" s="106"/>
    </x:row>
    <x:row r="346" ht="22" customHeight="1">
      <x:c r="A346" s="92" t="str"/>
      <x:c r="B346" s="94" t="str">
        <x:f>IFERROR(INDEX(Employees!$A$2:$A$500,MATCH(A346,Employees!$B$2:$B$500,0)),"")</x:f>
      </x:c>
      <x:c r="C346" s="45"/>
      <x:c r="D346" s="43" t="str">
        <x:f>IFERROR(VLOOKUP(C346,Employees!$A$2:$B$500,2,FALSE),"")</x:f>
      </x:c>
      <x:c r="E346" s="42"/>
      <x:c r="F346" s="105"/>
      <x:c r="G346" s="106"/>
    </x:row>
    <x:row r="347" ht="22" customHeight="1">
      <x:c r="A347" s="92" t="str"/>
      <x:c r="B347" s="94" t="str">
        <x:f>IFERROR(INDEX(Employees!$A$2:$A$500,MATCH(A347,Employees!$B$2:$B$500,0)),"")</x:f>
      </x:c>
      <x:c r="C347" s="45"/>
      <x:c r="D347" s="43" t="str">
        <x:f>IFERROR(VLOOKUP(C347,Employees!$A$2:$B$500,2,FALSE),"")</x:f>
      </x:c>
      <x:c r="E347" s="42"/>
      <x:c r="F347" s="105"/>
      <x:c r="G347" s="106"/>
    </x:row>
    <x:row r="348" ht="22" customHeight="1">
      <x:c r="A348" s="92" t="str"/>
      <x:c r="B348" s="94" t="str">
        <x:f>IFERROR(INDEX(Employees!$A$2:$A$500,MATCH(A348,Employees!$B$2:$B$500,0)),"")</x:f>
      </x:c>
      <x:c r="C348" s="45"/>
      <x:c r="D348" s="43" t="str">
        <x:f>IFERROR(VLOOKUP(C348,Employees!$A$2:$B$500,2,FALSE),"")</x:f>
      </x:c>
      <x:c r="E348" s="42"/>
      <x:c r="F348" s="105"/>
      <x:c r="G348" s="106"/>
    </x:row>
    <x:row r="349" ht="22" customHeight="1">
      <x:c r="A349" s="92" t="str"/>
      <x:c r="B349" s="94" t="str">
        <x:f>IFERROR(INDEX(Employees!$A$2:$A$500,MATCH(A349,Employees!$B$2:$B$500,0)),"")</x:f>
      </x:c>
      <x:c r="C349" s="45"/>
      <x:c r="D349" s="43" t="str">
        <x:f>IFERROR(VLOOKUP(C349,Employees!$A$2:$B$500,2,FALSE),"")</x:f>
      </x:c>
      <x:c r="E349" s="42"/>
      <x:c r="F349" s="105"/>
      <x:c r="G349" s="106"/>
    </x:row>
    <x:row r="350" ht="22" customHeight="1">
      <x:c r="A350" s="92" t="str"/>
      <x:c r="B350" s="94" t="str">
        <x:f>IFERROR(INDEX(Employees!$A$2:$A$500,MATCH(A350,Employees!$B$2:$B$500,0)),"")</x:f>
      </x:c>
      <x:c r="C350" s="45"/>
      <x:c r="D350" s="43" t="str">
        <x:f>IFERROR(VLOOKUP(C350,Employees!$A$2:$B$500,2,FALSE),"")</x:f>
      </x:c>
      <x:c r="E350" s="42"/>
      <x:c r="F350" s="105"/>
      <x:c r="G350" s="106"/>
    </x:row>
    <x:row r="351" ht="22" customHeight="1">
      <x:c r="A351" s="92" t="str"/>
      <x:c r="B351" s="94" t="str">
        <x:f>IFERROR(INDEX(Employees!$A$2:$A$500,MATCH(A351,Employees!$B$2:$B$500,0)),"")</x:f>
      </x:c>
      <x:c r="C351" s="45"/>
      <x:c r="D351" s="43" t="str">
        <x:f>IFERROR(VLOOKUP(C351,Employees!$A$2:$B$500,2,FALSE),"")</x:f>
      </x:c>
      <x:c r="E351" s="42"/>
      <x:c r="F351" s="105"/>
      <x:c r="G351" s="106"/>
    </x:row>
    <x:row r="352" ht="22" customHeight="1">
      <x:c r="A352" s="92" t="str"/>
      <x:c r="B352" s="94" t="str">
        <x:f>IFERROR(INDEX(Employees!$A$2:$A$500,MATCH(A352,Employees!$B$2:$B$500,0)),"")</x:f>
      </x:c>
      <x:c r="C352" s="45"/>
      <x:c r="D352" s="43" t="str">
        <x:f>IFERROR(VLOOKUP(C352,Employees!$A$2:$B$500,2,FALSE),"")</x:f>
      </x:c>
      <x:c r="E352" s="42"/>
      <x:c r="F352" s="105"/>
      <x:c r="G352" s="106"/>
    </x:row>
    <x:row r="353" ht="22" customHeight="1">
      <x:c r="A353" s="92" t="str"/>
      <x:c r="B353" s="94" t="str">
        <x:f>IFERROR(INDEX(Employees!$A$2:$A$500,MATCH(A353,Employees!$B$2:$B$500,0)),"")</x:f>
      </x:c>
      <x:c r="C353" s="45"/>
      <x:c r="D353" s="43" t="str">
        <x:f>IFERROR(VLOOKUP(C353,Employees!$A$2:$B$500,2,FALSE),"")</x:f>
      </x:c>
      <x:c r="E353" s="42"/>
      <x:c r="F353" s="105"/>
      <x:c r="G353" s="106"/>
    </x:row>
    <x:row r="354" ht="22" customHeight="1">
      <x:c r="A354" s="92" t="str"/>
      <x:c r="B354" s="94" t="str">
        <x:f>IFERROR(INDEX(Employees!$A$2:$A$500,MATCH(A354,Employees!$B$2:$B$500,0)),"")</x:f>
      </x:c>
      <x:c r="C354" s="45"/>
      <x:c r="D354" s="43" t="str">
        <x:f>IFERROR(VLOOKUP(C354,Employees!$A$2:$B$500,2,FALSE),"")</x:f>
      </x:c>
      <x:c r="E354" s="42"/>
      <x:c r="F354" s="105"/>
      <x:c r="G354" s="106"/>
    </x:row>
    <x:row r="355" ht="22" customHeight="1">
      <x:c r="A355" s="92" t="str"/>
      <x:c r="B355" s="94" t="str">
        <x:f>IFERROR(INDEX(Employees!$A$2:$A$500,MATCH(A355,Employees!$B$2:$B$500,0)),"")</x:f>
      </x:c>
      <x:c r="C355" s="45"/>
      <x:c r="D355" s="43" t="str">
        <x:f>IFERROR(VLOOKUP(C355,Employees!$A$2:$B$500,2,FALSE),"")</x:f>
      </x:c>
      <x:c r="E355" s="42"/>
      <x:c r="F355" s="105"/>
      <x:c r="G355" s="106"/>
    </x:row>
    <x:row r="356" ht="22" customHeight="1">
      <x:c r="A356" s="92" t="str"/>
      <x:c r="B356" s="94" t="str">
        <x:f>IFERROR(INDEX(Employees!$A$2:$A$500,MATCH(A356,Employees!$B$2:$B$500,0)),"")</x:f>
      </x:c>
      <x:c r="C356" s="45"/>
      <x:c r="D356" s="43" t="str">
        <x:f>IFERROR(VLOOKUP(C356,Employees!$A$2:$B$500,2,FALSE),"")</x:f>
      </x:c>
      <x:c r="E356" s="42"/>
      <x:c r="F356" s="105"/>
      <x:c r="G356" s="106"/>
    </x:row>
    <x:row r="357" ht="22" customHeight="1">
      <x:c r="A357" s="92" t="str"/>
      <x:c r="B357" s="94" t="str">
        <x:f>IFERROR(INDEX(Employees!$A$2:$A$500,MATCH(A357,Employees!$B$2:$B$500,0)),"")</x:f>
      </x:c>
      <x:c r="C357" s="45"/>
      <x:c r="D357" s="43" t="str">
        <x:f>IFERROR(VLOOKUP(C357,Employees!$A$2:$B$500,2,FALSE),"")</x:f>
      </x:c>
      <x:c r="E357" s="42"/>
      <x:c r="F357" s="105"/>
      <x:c r="G357" s="106"/>
    </x:row>
    <x:row r="358" ht="22" customHeight="1">
      <x:c r="A358" s="92" t="str"/>
      <x:c r="B358" s="94" t="str">
        <x:f>IFERROR(INDEX(Employees!$A$2:$A$500,MATCH(A358,Employees!$B$2:$B$500,0)),"")</x:f>
      </x:c>
      <x:c r="C358" s="45"/>
      <x:c r="D358" s="43" t="str">
        <x:f>IFERROR(VLOOKUP(C358,Employees!$A$2:$B$500,2,FALSE),"")</x:f>
      </x:c>
      <x:c r="E358" s="42"/>
      <x:c r="F358" s="105"/>
      <x:c r="G358" s="106"/>
    </x:row>
    <x:row r="359" ht="22" customHeight="1">
      <x:c r="A359" s="92" t="str"/>
      <x:c r="B359" s="94" t="str">
        <x:f>IFERROR(INDEX(Employees!$A$2:$A$500,MATCH(A359,Employees!$B$2:$B$500,0)),"")</x:f>
      </x:c>
      <x:c r="C359" s="45"/>
      <x:c r="D359" s="43" t="str">
        <x:f>IFERROR(VLOOKUP(C359,Employees!$A$2:$B$500,2,FALSE),"")</x:f>
      </x:c>
      <x:c r="E359" s="42"/>
      <x:c r="F359" s="105"/>
      <x:c r="G359" s="106"/>
    </x:row>
    <x:row r="360" ht="22" customHeight="1">
      <x:c r="A360" s="92" t="str"/>
      <x:c r="B360" s="94" t="str">
        <x:f>IFERROR(INDEX(Employees!$A$2:$A$500,MATCH(A360,Employees!$B$2:$B$500,0)),"")</x:f>
      </x:c>
      <x:c r="C360" s="45"/>
      <x:c r="D360" s="43" t="str">
        <x:f>IFERROR(VLOOKUP(C360,Employees!$A$2:$B$500,2,FALSE),"")</x:f>
      </x:c>
      <x:c r="E360" s="42"/>
      <x:c r="F360" s="105"/>
      <x:c r="G360" s="106"/>
    </x:row>
    <x:row r="361" ht="22" customHeight="1">
      <x:c r="A361" s="92" t="str"/>
      <x:c r="B361" s="94" t="str">
        <x:f>IFERROR(INDEX(Employees!$A$2:$A$500,MATCH(A361,Employees!$B$2:$B$500,0)),"")</x:f>
      </x:c>
      <x:c r="C361" s="45"/>
      <x:c r="D361" s="43" t="str">
        <x:f>IFERROR(VLOOKUP(C361,Employees!$A$2:$B$500,2,FALSE),"")</x:f>
      </x:c>
      <x:c r="E361" s="42"/>
      <x:c r="F361" s="105"/>
      <x:c r="G361" s="106"/>
    </x:row>
    <x:row r="362" ht="22" customHeight="1">
      <x:c r="A362" s="92" t="str"/>
      <x:c r="B362" s="94" t="str">
        <x:f>IFERROR(INDEX(Employees!$A$2:$A$500,MATCH(A362,Employees!$B$2:$B$500,0)),"")</x:f>
      </x:c>
      <x:c r="C362" s="45"/>
      <x:c r="D362" s="43" t="str">
        <x:f>IFERROR(VLOOKUP(C362,Employees!$A$2:$B$500,2,FALSE),"")</x:f>
      </x:c>
      <x:c r="E362" s="42"/>
      <x:c r="F362" s="105"/>
      <x:c r="G362" s="106"/>
    </x:row>
    <x:row r="363" ht="22" customHeight="1">
      <x:c r="A363" s="92" t="str"/>
      <x:c r="B363" s="94" t="str">
        <x:f>IFERROR(INDEX(Employees!$A$2:$A$500,MATCH(A363,Employees!$B$2:$B$500,0)),"")</x:f>
      </x:c>
      <x:c r="C363" s="45"/>
      <x:c r="D363" s="43" t="str">
        <x:f>IFERROR(VLOOKUP(C363,Employees!$A$2:$B$500,2,FALSE),"")</x:f>
      </x:c>
      <x:c r="E363" s="42"/>
      <x:c r="F363" s="105"/>
      <x:c r="G363" s="106"/>
    </x:row>
    <x:row r="364" ht="22" customHeight="1">
      <x:c r="A364" s="92" t="str"/>
      <x:c r="B364" s="94" t="str">
        <x:f>IFERROR(INDEX(Employees!$A$2:$A$500,MATCH(A364,Employees!$B$2:$B$500,0)),"")</x:f>
      </x:c>
      <x:c r="C364" s="45"/>
      <x:c r="D364" s="43" t="str">
        <x:f>IFERROR(VLOOKUP(C364,Employees!$A$2:$B$500,2,FALSE),"")</x:f>
      </x:c>
      <x:c r="E364" s="42"/>
      <x:c r="F364" s="105"/>
      <x:c r="G364" s="106"/>
    </x:row>
    <x:row r="365" ht="22" customHeight="1">
      <x:c r="A365" s="92" t="str"/>
      <x:c r="B365" s="94" t="str">
        <x:f>IFERROR(INDEX(Employees!$A$2:$A$500,MATCH(A365,Employees!$B$2:$B$500,0)),"")</x:f>
      </x:c>
      <x:c r="C365" s="45"/>
      <x:c r="D365" s="43" t="str">
        <x:f>IFERROR(VLOOKUP(C365,Employees!$A$2:$B$500,2,FALSE),"")</x:f>
      </x:c>
      <x:c r="E365" s="42"/>
      <x:c r="F365" s="105"/>
      <x:c r="G365" s="106"/>
    </x:row>
    <x:row r="366" ht="22" customHeight="1">
      <x:c r="A366" s="92" t="str"/>
      <x:c r="B366" s="94" t="str">
        <x:f>IFERROR(INDEX(Employees!$A$2:$A$500,MATCH(A366,Employees!$B$2:$B$500,0)),"")</x:f>
      </x:c>
      <x:c r="C366" s="45"/>
      <x:c r="D366" s="43" t="str">
        <x:f>IFERROR(VLOOKUP(C366,Employees!$A$2:$B$500,2,FALSE),"")</x:f>
      </x:c>
      <x:c r="E366" s="42"/>
      <x:c r="F366" s="105"/>
      <x:c r="G366" s="106"/>
    </x:row>
    <x:row r="367" ht="22" customHeight="1">
      <x:c r="A367" s="92" t="str"/>
      <x:c r="B367" s="94" t="str">
        <x:f>IFERROR(INDEX(Employees!$A$2:$A$500,MATCH(A367,Employees!$B$2:$B$500,0)),"")</x:f>
      </x:c>
      <x:c r="C367" s="45"/>
      <x:c r="D367" s="43" t="str">
        <x:f>IFERROR(VLOOKUP(C367,Employees!$A$2:$B$500,2,FALSE),"")</x:f>
      </x:c>
      <x:c r="E367" s="42"/>
      <x:c r="F367" s="105"/>
      <x:c r="G367" s="106"/>
    </x:row>
    <x:row r="368" ht="22" customHeight="1">
      <x:c r="A368" s="92" t="str"/>
      <x:c r="B368" s="94" t="str">
        <x:f>IFERROR(INDEX(Employees!$A$2:$A$500,MATCH(A368,Employees!$B$2:$B$500,0)),"")</x:f>
      </x:c>
      <x:c r="C368" s="45"/>
      <x:c r="D368" s="43" t="str">
        <x:f>IFERROR(VLOOKUP(C368,Employees!$A$2:$B$500,2,FALSE),"")</x:f>
      </x:c>
      <x:c r="E368" s="42"/>
      <x:c r="F368" s="105"/>
      <x:c r="G368" s="106"/>
    </x:row>
    <x:row r="369" ht="22" customHeight="1">
      <x:c r="A369" s="92" t="str"/>
      <x:c r="B369" s="94" t="str">
        <x:f>IFERROR(INDEX(Employees!$A$2:$A$500,MATCH(A369,Employees!$B$2:$B$500,0)),"")</x:f>
      </x:c>
      <x:c r="C369" s="45"/>
      <x:c r="D369" s="43" t="str">
        <x:f>IFERROR(VLOOKUP(C369,Employees!$A$2:$B$500,2,FALSE),"")</x:f>
      </x:c>
      <x:c r="E369" s="42"/>
      <x:c r="F369" s="105"/>
      <x:c r="G369" s="106"/>
    </x:row>
    <x:row r="370" ht="22" customHeight="1">
      <x:c r="A370" s="92" t="str"/>
      <x:c r="B370" s="94" t="str">
        <x:f>IFERROR(INDEX(Employees!$A$2:$A$500,MATCH(A370,Employees!$B$2:$B$500,0)),"")</x:f>
      </x:c>
      <x:c r="C370" s="45"/>
      <x:c r="D370" s="43" t="str">
        <x:f>IFERROR(VLOOKUP(C370,Employees!$A$2:$B$500,2,FALSE),"")</x:f>
      </x:c>
      <x:c r="E370" s="42"/>
      <x:c r="F370" s="105"/>
      <x:c r="G370" s="106"/>
    </x:row>
    <x:row r="371" ht="22" customHeight="1">
      <x:c r="A371" s="92" t="str"/>
      <x:c r="B371" s="94" t="str">
        <x:f>IFERROR(INDEX(Employees!$A$2:$A$500,MATCH(A371,Employees!$B$2:$B$500,0)),"")</x:f>
      </x:c>
      <x:c r="C371" s="45"/>
      <x:c r="D371" s="43" t="str">
        <x:f>IFERROR(VLOOKUP(C371,Employees!$A$2:$B$500,2,FALSE),"")</x:f>
      </x:c>
      <x:c r="E371" s="42"/>
      <x:c r="F371" s="105"/>
      <x:c r="G371" s="106"/>
    </x:row>
    <x:row r="372" ht="22" customHeight="1">
      <x:c r="A372" s="92" t="str"/>
      <x:c r="B372" s="94" t="str">
        <x:f>IFERROR(INDEX(Employees!$A$2:$A$500,MATCH(A372,Employees!$B$2:$B$500,0)),"")</x:f>
      </x:c>
      <x:c r="C372" s="45"/>
      <x:c r="D372" s="43" t="str">
        <x:f>IFERROR(VLOOKUP(C372,Employees!$A$2:$B$500,2,FALSE),"")</x:f>
      </x:c>
      <x:c r="E372" s="42"/>
      <x:c r="F372" s="105"/>
      <x:c r="G372" s="106"/>
    </x:row>
    <x:row r="373" ht="22" customHeight="1">
      <x:c r="A373" s="92" t="str"/>
      <x:c r="B373" s="94" t="str">
        <x:f>IFERROR(INDEX(Employees!$A$2:$A$500,MATCH(A373,Employees!$B$2:$B$500,0)),"")</x:f>
      </x:c>
      <x:c r="C373" s="45"/>
      <x:c r="D373" s="43" t="str">
        <x:f>IFERROR(VLOOKUP(C373,Employees!$A$2:$B$500,2,FALSE),"")</x:f>
      </x:c>
      <x:c r="E373" s="42"/>
      <x:c r="F373" s="105"/>
      <x:c r="G373" s="106"/>
    </x:row>
    <x:row r="374" ht="22" customHeight="1">
      <x:c r="A374" s="92" t="str"/>
      <x:c r="B374" s="94" t="str">
        <x:f>IFERROR(INDEX(Employees!$A$2:$A$500,MATCH(A374,Employees!$B$2:$B$500,0)),"")</x:f>
      </x:c>
      <x:c r="C374" s="45"/>
      <x:c r="D374" s="43" t="str">
        <x:f>IFERROR(VLOOKUP(C374,Employees!$A$2:$B$500,2,FALSE),"")</x:f>
      </x:c>
      <x:c r="E374" s="42"/>
      <x:c r="F374" s="105"/>
      <x:c r="G374" s="106"/>
    </x:row>
    <x:row r="375" ht="22" customHeight="1">
      <x:c r="A375" s="92" t="str"/>
      <x:c r="B375" s="94" t="str">
        <x:f>IFERROR(INDEX(Employees!$A$2:$A$500,MATCH(A375,Employees!$B$2:$B$500,0)),"")</x:f>
      </x:c>
      <x:c r="C375" s="45"/>
      <x:c r="D375" s="43" t="str">
        <x:f>IFERROR(VLOOKUP(C375,Employees!$A$2:$B$500,2,FALSE),"")</x:f>
      </x:c>
      <x:c r="E375" s="42"/>
      <x:c r="F375" s="105"/>
      <x:c r="G375" s="106"/>
    </x:row>
    <x:row r="376" ht="22" customHeight="1">
      <x:c r="A376" s="92" t="str"/>
      <x:c r="B376" s="94" t="str">
        <x:f>IFERROR(INDEX(Employees!$A$2:$A$500,MATCH(A376,Employees!$B$2:$B$500,0)),"")</x:f>
      </x:c>
      <x:c r="C376" s="45"/>
      <x:c r="D376" s="43" t="str">
        <x:f>IFERROR(VLOOKUP(C376,Employees!$A$2:$B$500,2,FALSE),"")</x:f>
      </x:c>
      <x:c r="E376" s="42"/>
      <x:c r="F376" s="105"/>
      <x:c r="G376" s="106"/>
    </x:row>
    <x:row r="377" ht="22" customHeight="1">
      <x:c r="A377" s="92" t="str"/>
      <x:c r="B377" s="94" t="str">
        <x:f>IFERROR(INDEX(Employees!$A$2:$A$500,MATCH(A377,Employees!$B$2:$B$500,0)),"")</x:f>
      </x:c>
      <x:c r="C377" s="45"/>
      <x:c r="D377" s="43" t="str">
        <x:f>IFERROR(VLOOKUP(C377,Employees!$A$2:$B$500,2,FALSE),"")</x:f>
      </x:c>
      <x:c r="E377" s="42"/>
      <x:c r="F377" s="105"/>
      <x:c r="G377" s="106"/>
    </x:row>
    <x:row r="378" ht="22" customHeight="1">
      <x:c r="A378" s="92" t="str"/>
      <x:c r="B378" s="94" t="str">
        <x:f>IFERROR(INDEX(Employees!$A$2:$A$500,MATCH(A378,Employees!$B$2:$B$500,0)),"")</x:f>
      </x:c>
      <x:c r="C378" s="45"/>
      <x:c r="D378" s="43" t="str">
        <x:f>IFERROR(VLOOKUP(C378,Employees!$A$2:$B$500,2,FALSE),"")</x:f>
      </x:c>
      <x:c r="E378" s="42"/>
      <x:c r="F378" s="105"/>
      <x:c r="G378" s="106"/>
    </x:row>
    <x:row r="379" ht="22" customHeight="1">
      <x:c r="A379" s="92" t="str"/>
      <x:c r="B379" s="94" t="str">
        <x:f>IFERROR(INDEX(Employees!$A$2:$A$500,MATCH(A379,Employees!$B$2:$B$500,0)),"")</x:f>
      </x:c>
      <x:c r="C379" s="45"/>
      <x:c r="D379" s="43" t="str">
        <x:f>IFERROR(VLOOKUP(C379,Employees!$A$2:$B$500,2,FALSE),"")</x:f>
      </x:c>
      <x:c r="E379" s="42"/>
      <x:c r="F379" s="105"/>
      <x:c r="G379" s="106"/>
    </x:row>
    <x:row r="380" ht="22" customHeight="1">
      <x:c r="A380" s="92" t="str"/>
      <x:c r="B380" s="94" t="str">
        <x:f>IFERROR(INDEX(Employees!$A$2:$A$500,MATCH(A380,Employees!$B$2:$B$500,0)),"")</x:f>
      </x:c>
      <x:c r="C380" s="45"/>
      <x:c r="D380" s="43" t="str">
        <x:f>IFERROR(VLOOKUP(C380,Employees!$A$2:$B$500,2,FALSE),"")</x:f>
      </x:c>
      <x:c r="E380" s="42"/>
      <x:c r="F380" s="105"/>
      <x:c r="G380" s="106"/>
    </x:row>
    <x:row r="381" ht="22" customHeight="1">
      <x:c r="A381" s="92" t="str"/>
      <x:c r="B381" s="94" t="str">
        <x:f>IFERROR(INDEX(Employees!$A$2:$A$500,MATCH(A381,Employees!$B$2:$B$500,0)),"")</x:f>
      </x:c>
      <x:c r="C381" s="45"/>
      <x:c r="D381" s="43" t="str">
        <x:f>IFERROR(VLOOKUP(C381,Employees!$A$2:$B$500,2,FALSE),"")</x:f>
      </x:c>
      <x:c r="E381" s="42"/>
      <x:c r="F381" s="105"/>
      <x:c r="G381" s="106"/>
    </x:row>
    <x:row r="382" ht="22" customHeight="1">
      <x:c r="A382" s="92" t="str"/>
      <x:c r="B382" s="94" t="str">
        <x:f>IFERROR(INDEX(Employees!$A$2:$A$500,MATCH(A382,Employees!$B$2:$B$500,0)),"")</x:f>
      </x:c>
      <x:c r="C382" s="45"/>
      <x:c r="D382" s="43" t="str">
        <x:f>IFERROR(VLOOKUP(C382,Employees!$A$2:$B$500,2,FALSE),"")</x:f>
      </x:c>
      <x:c r="E382" s="42"/>
      <x:c r="F382" s="105"/>
      <x:c r="G382" s="106"/>
    </x:row>
    <x:row r="383" ht="22" customHeight="1">
      <x:c r="A383" s="92" t="str"/>
      <x:c r="B383" s="94" t="str">
        <x:f>IFERROR(INDEX(Employees!$A$2:$A$500,MATCH(A383,Employees!$B$2:$B$500,0)),"")</x:f>
      </x:c>
      <x:c r="C383" s="45"/>
      <x:c r="D383" s="43" t="str">
        <x:f>IFERROR(VLOOKUP(C383,Employees!$A$2:$B$500,2,FALSE),"")</x:f>
      </x:c>
      <x:c r="E383" s="42"/>
      <x:c r="F383" s="105"/>
      <x:c r="G383" s="106"/>
    </x:row>
    <x:row r="384" ht="22" customHeight="1">
      <x:c r="A384" s="92" t="str"/>
      <x:c r="B384" s="94" t="str">
        <x:f>IFERROR(INDEX(Employees!$A$2:$A$500,MATCH(A384,Employees!$B$2:$B$500,0)),"")</x:f>
      </x:c>
      <x:c r="C384" s="45"/>
      <x:c r="D384" s="43" t="str">
        <x:f>IFERROR(VLOOKUP(C384,Employees!$A$2:$B$500,2,FALSE),"")</x:f>
      </x:c>
      <x:c r="E384" s="42"/>
      <x:c r="F384" s="105"/>
      <x:c r="G384" s="106"/>
    </x:row>
    <x:row r="385" ht="22" customHeight="1">
      <x:c r="A385" s="92" t="str"/>
      <x:c r="B385" s="94" t="str">
        <x:f>IFERROR(INDEX(Employees!$A$2:$A$500,MATCH(A385,Employees!$B$2:$B$500,0)),"")</x:f>
      </x:c>
      <x:c r="C385" s="45"/>
      <x:c r="D385" s="43" t="str">
        <x:f>IFERROR(VLOOKUP(C385,Employees!$A$2:$B$500,2,FALSE),"")</x:f>
      </x:c>
      <x:c r="E385" s="42"/>
      <x:c r="F385" s="105"/>
      <x:c r="G385" s="106"/>
    </x:row>
    <x:row r="386" ht="22" customHeight="1">
      <x:c r="A386" s="92" t="str"/>
      <x:c r="B386" s="94" t="str">
        <x:f>IFERROR(INDEX(Employees!$A$2:$A$500,MATCH(A386,Employees!$B$2:$B$500,0)),"")</x:f>
      </x:c>
      <x:c r="C386" s="45"/>
      <x:c r="D386" s="43" t="str">
        <x:f>IFERROR(VLOOKUP(C386,Employees!$A$2:$B$500,2,FALSE),"")</x:f>
      </x:c>
      <x:c r="E386" s="42"/>
      <x:c r="F386" s="105"/>
      <x:c r="G386" s="106"/>
    </x:row>
    <x:row r="387" ht="22" customHeight="1">
      <x:c r="A387" s="92" t="str"/>
      <x:c r="B387" s="94" t="str">
        <x:f>IFERROR(INDEX(Employees!$A$2:$A$500,MATCH(A387,Employees!$B$2:$B$500,0)),"")</x:f>
      </x:c>
      <x:c r="C387" s="45"/>
      <x:c r="D387" s="43" t="str">
        <x:f>IFERROR(VLOOKUP(C387,Employees!$A$2:$B$500,2,FALSE),"")</x:f>
      </x:c>
      <x:c r="E387" s="42"/>
      <x:c r="F387" s="105"/>
      <x:c r="G387" s="106"/>
    </x:row>
    <x:row r="388" ht="22" customHeight="1">
      <x:c r="A388" s="92" t="str"/>
      <x:c r="B388" s="94" t="str">
        <x:f>IFERROR(INDEX(Employees!$A$2:$A$500,MATCH(A388,Employees!$B$2:$B$500,0)),"")</x:f>
      </x:c>
      <x:c r="C388" s="45"/>
      <x:c r="D388" s="43" t="str">
        <x:f>IFERROR(VLOOKUP(C388,Employees!$A$2:$B$500,2,FALSE),"")</x:f>
      </x:c>
      <x:c r="E388" s="42"/>
      <x:c r="F388" s="105"/>
      <x:c r="G388" s="106"/>
    </x:row>
    <x:row r="389" ht="22" customHeight="1">
      <x:c r="A389" s="92" t="str"/>
      <x:c r="B389" s="94" t="str">
        <x:f>IFERROR(INDEX(Employees!$A$2:$A$500,MATCH(A389,Employees!$B$2:$B$500,0)),"")</x:f>
      </x:c>
      <x:c r="C389" s="45"/>
      <x:c r="D389" s="43" t="str">
        <x:f>IFERROR(VLOOKUP(C389,Employees!$A$2:$B$500,2,FALSE),"")</x:f>
      </x:c>
      <x:c r="E389" s="42"/>
      <x:c r="F389" s="105"/>
      <x:c r="G389" s="106"/>
    </x:row>
    <x:row r="390" ht="22" customHeight="1">
      <x:c r="A390" s="92" t="str"/>
      <x:c r="B390" s="94" t="str">
        <x:f>IFERROR(INDEX(Employees!$A$2:$A$500,MATCH(A390,Employees!$B$2:$B$500,0)),"")</x:f>
      </x:c>
      <x:c r="C390" s="45"/>
      <x:c r="D390" s="43" t="str">
        <x:f>IFERROR(VLOOKUP(C390,Employees!$A$2:$B$500,2,FALSE),"")</x:f>
      </x:c>
      <x:c r="E390" s="42"/>
      <x:c r="F390" s="105"/>
      <x:c r="G390" s="106"/>
    </x:row>
    <x:row r="391" ht="22" customHeight="1">
      <x:c r="A391" s="92" t="str"/>
      <x:c r="B391" s="94" t="str">
        <x:f>IFERROR(INDEX(Employees!$A$2:$A$500,MATCH(A391,Employees!$B$2:$B$500,0)),"")</x:f>
      </x:c>
      <x:c r="C391" s="45"/>
      <x:c r="D391" s="43" t="str">
        <x:f>IFERROR(VLOOKUP(C391,Employees!$A$2:$B$500,2,FALSE),"")</x:f>
      </x:c>
      <x:c r="E391" s="42"/>
      <x:c r="F391" s="105"/>
      <x:c r="G391" s="106"/>
    </x:row>
    <x:row r="392" ht="22" customHeight="1">
      <x:c r="A392" s="92" t="str"/>
      <x:c r="B392" s="94" t="str">
        <x:f>IFERROR(INDEX(Employees!$A$2:$A$500,MATCH(A392,Employees!$B$2:$B$500,0)),"")</x:f>
      </x:c>
      <x:c r="C392" s="45"/>
      <x:c r="D392" s="43" t="str">
        <x:f>IFERROR(VLOOKUP(C392,Employees!$A$2:$B$500,2,FALSE),"")</x:f>
      </x:c>
      <x:c r="E392" s="42"/>
      <x:c r="F392" s="105"/>
      <x:c r="G392" s="106"/>
    </x:row>
    <x:row r="393" ht="22" customHeight="1">
      <x:c r="A393" s="92" t="str"/>
      <x:c r="B393" s="94" t="str">
        <x:f>IFERROR(INDEX(Employees!$A$2:$A$500,MATCH(A393,Employees!$B$2:$B$500,0)),"")</x:f>
      </x:c>
      <x:c r="C393" s="45"/>
      <x:c r="D393" s="43" t="str">
        <x:f>IFERROR(VLOOKUP(C393,Employees!$A$2:$B$500,2,FALSE),"")</x:f>
      </x:c>
      <x:c r="E393" s="42"/>
      <x:c r="F393" s="105"/>
      <x:c r="G393" s="106"/>
    </x:row>
    <x:row r="394" ht="22" customHeight="1">
      <x:c r="A394" s="92" t="str"/>
      <x:c r="B394" s="94" t="str">
        <x:f>IFERROR(INDEX(Employees!$A$2:$A$500,MATCH(A394,Employees!$B$2:$B$500,0)),"")</x:f>
      </x:c>
      <x:c r="C394" s="45"/>
      <x:c r="D394" s="43" t="str">
        <x:f>IFERROR(VLOOKUP(C394,Employees!$A$2:$B$500,2,FALSE),"")</x:f>
      </x:c>
      <x:c r="E394" s="42"/>
      <x:c r="F394" s="105"/>
      <x:c r="G394" s="106"/>
    </x:row>
    <x:row r="395" ht="22" customHeight="1">
      <x:c r="A395" s="92" t="str"/>
      <x:c r="B395" s="94" t="str">
        <x:f>IFERROR(INDEX(Employees!$A$2:$A$500,MATCH(A395,Employees!$B$2:$B$500,0)),"")</x:f>
      </x:c>
      <x:c r="C395" s="45"/>
      <x:c r="D395" s="43" t="str">
        <x:f>IFERROR(VLOOKUP(C395,Employees!$A$2:$B$500,2,FALSE),"")</x:f>
      </x:c>
      <x:c r="E395" s="42"/>
      <x:c r="F395" s="105"/>
      <x:c r="G395" s="106"/>
    </x:row>
    <x:row r="396" ht="22" customHeight="1">
      <x:c r="A396" s="92" t="str"/>
      <x:c r="B396" s="94" t="str">
        <x:f>IFERROR(INDEX(Employees!$A$2:$A$500,MATCH(A396,Employees!$B$2:$B$500,0)),"")</x:f>
      </x:c>
      <x:c r="C396" s="45"/>
      <x:c r="D396" s="43" t="str">
        <x:f>IFERROR(VLOOKUP(C396,Employees!$A$2:$B$500,2,FALSE),"")</x:f>
      </x:c>
      <x:c r="E396" s="42"/>
      <x:c r="F396" s="105"/>
      <x:c r="G396" s="106"/>
    </x:row>
    <x:row r="397" ht="22" customHeight="1">
      <x:c r="A397" s="92" t="str"/>
      <x:c r="B397" s="94" t="str">
        <x:f>IFERROR(INDEX(Employees!$A$2:$A$500,MATCH(A397,Employees!$B$2:$B$500,0)),"")</x:f>
      </x:c>
      <x:c r="C397" s="45"/>
      <x:c r="D397" s="43" t="str">
        <x:f>IFERROR(VLOOKUP(C397,Employees!$A$2:$B$500,2,FALSE),"")</x:f>
      </x:c>
      <x:c r="E397" s="42"/>
      <x:c r="F397" s="105"/>
      <x:c r="G397" s="106"/>
    </x:row>
    <x:row r="398" ht="22" customHeight="1">
      <x:c r="A398" s="92" t="str"/>
      <x:c r="B398" s="94" t="str">
        <x:f>IFERROR(INDEX(Employees!$A$2:$A$500,MATCH(A398,Employees!$B$2:$B$500,0)),"")</x:f>
      </x:c>
      <x:c r="C398" s="45"/>
      <x:c r="D398" s="43" t="str">
        <x:f>IFERROR(VLOOKUP(C398,Employees!$A$2:$B$500,2,FALSE),"")</x:f>
      </x:c>
      <x:c r="E398" s="42"/>
      <x:c r="F398" s="105"/>
      <x:c r="G398" s="106"/>
    </x:row>
    <x:row r="399" ht="22" customHeight="1">
      <x:c r="A399" s="92" t="str"/>
      <x:c r="B399" s="94" t="str">
        <x:f>IFERROR(INDEX(Employees!$A$2:$A$500,MATCH(A399,Employees!$B$2:$B$500,0)),"")</x:f>
      </x:c>
      <x:c r="C399" s="45"/>
      <x:c r="D399" s="43" t="str">
        <x:f>IFERROR(VLOOKUP(C399,Employees!$A$2:$B$500,2,FALSE),"")</x:f>
      </x:c>
      <x:c r="E399" s="42"/>
      <x:c r="F399" s="105"/>
      <x:c r="G399" s="106"/>
    </x:row>
    <x:row r="400" ht="22" customHeight="1">
      <x:c r="A400" s="92" t="str"/>
      <x:c r="B400" s="94" t="str">
        <x:f>IFERROR(INDEX(Employees!$A$2:$A$500,MATCH(A400,Employees!$B$2:$B$500,0)),"")</x:f>
      </x:c>
      <x:c r="C400" s="45"/>
      <x:c r="D400" s="43" t="str">
        <x:f>IFERROR(VLOOKUP(C400,Employees!$A$2:$B$500,2,FALSE),"")</x:f>
      </x:c>
      <x:c r="E400" s="42"/>
      <x:c r="F400" s="105"/>
      <x:c r="G400" s="106"/>
    </x:row>
    <x:row r="401" ht="22" customHeight="1">
      <x:c r="A401" s="92" t="str"/>
      <x:c r="B401" s="94" t="str">
        <x:f>IFERROR(INDEX(Employees!$A$2:$A$500,MATCH(A401,Employees!$B$2:$B$500,0)),"")</x:f>
      </x:c>
      <x:c r="C401" s="45"/>
      <x:c r="D401" s="43" t="str">
        <x:f>IFERROR(VLOOKUP(C401,Employees!$A$2:$B$500,2,FALSE),"")</x:f>
      </x:c>
      <x:c r="E401" s="42"/>
      <x:c r="F401" s="105"/>
      <x:c r="G401" s="106"/>
    </x:row>
    <x:row r="402" ht="22" customHeight="1">
      <x:c r="A402" s="92" t="str"/>
      <x:c r="B402" s="94" t="str">
        <x:f>IFERROR(INDEX(Employees!$A$2:$A$500,MATCH(A402,Employees!$B$2:$B$500,0)),"")</x:f>
      </x:c>
      <x:c r="C402" s="45"/>
      <x:c r="D402" s="43" t="str">
        <x:f>IFERROR(VLOOKUP(C402,Employees!$A$2:$B$500,2,FALSE),"")</x:f>
      </x:c>
      <x:c r="E402" s="42"/>
      <x:c r="F402" s="105"/>
      <x:c r="G402" s="106"/>
    </x:row>
    <x:row r="403" ht="22" customHeight="1">
      <x:c r="A403" s="92" t="str"/>
      <x:c r="B403" s="94" t="str">
        <x:f>IFERROR(INDEX(Employees!$A$2:$A$500,MATCH(A403,Employees!$B$2:$B$500,0)),"")</x:f>
      </x:c>
      <x:c r="C403" s="45"/>
      <x:c r="D403" s="43" t="str">
        <x:f>IFERROR(VLOOKUP(C403,Employees!$A$2:$B$500,2,FALSE),"")</x:f>
      </x:c>
      <x:c r="E403" s="42"/>
      <x:c r="F403" s="105"/>
      <x:c r="G403" s="106"/>
    </x:row>
    <x:row r="404" ht="22" customHeight="1">
      <x:c r="A404" s="92" t="str"/>
      <x:c r="B404" s="94" t="str">
        <x:f>IFERROR(INDEX(Employees!$A$2:$A$500,MATCH(A404,Employees!$B$2:$B$500,0)),"")</x:f>
      </x:c>
      <x:c r="C404" s="45"/>
      <x:c r="D404" s="43" t="str">
        <x:f>IFERROR(VLOOKUP(C404,Employees!$A$2:$B$500,2,FALSE),"")</x:f>
      </x:c>
      <x:c r="E404" s="42"/>
      <x:c r="F404" s="105"/>
      <x:c r="G404" s="106"/>
    </x:row>
    <x:row r="405" ht="22" customHeight="1">
      <x:c r="A405" s="92" t="str"/>
      <x:c r="B405" s="94" t="str">
        <x:f>IFERROR(INDEX(Employees!$A$2:$A$500,MATCH(A405,Employees!$B$2:$B$500,0)),"")</x:f>
      </x:c>
      <x:c r="C405" s="45"/>
      <x:c r="D405" s="43" t="str">
        <x:f>IFERROR(VLOOKUP(C405,Employees!$A$2:$B$500,2,FALSE),"")</x:f>
      </x:c>
      <x:c r="E405" s="42"/>
      <x:c r="F405" s="105"/>
      <x:c r="G405" s="106"/>
    </x:row>
    <x:row r="406" ht="22" customHeight="1">
      <x:c r="A406" s="92" t="str"/>
      <x:c r="B406" s="94" t="str">
        <x:f>IFERROR(INDEX(Employees!$A$2:$A$500,MATCH(A406,Employees!$B$2:$B$500,0)),"")</x:f>
      </x:c>
      <x:c r="C406" s="45"/>
      <x:c r="D406" s="43" t="str">
        <x:f>IFERROR(VLOOKUP(C406,Employees!$A$2:$B$500,2,FALSE),"")</x:f>
      </x:c>
      <x:c r="E406" s="42"/>
      <x:c r="F406" s="105"/>
      <x:c r="G406" s="106"/>
    </x:row>
    <x:row r="407" ht="22" customHeight="1">
      <x:c r="A407" s="92" t="str"/>
      <x:c r="B407" s="94" t="str">
        <x:f>IFERROR(INDEX(Employees!$A$2:$A$500,MATCH(A407,Employees!$B$2:$B$500,0)),"")</x:f>
      </x:c>
      <x:c r="C407" s="45"/>
      <x:c r="D407" s="43" t="str">
        <x:f>IFERROR(VLOOKUP(C407,Employees!$A$2:$B$500,2,FALSE),"")</x:f>
      </x:c>
      <x:c r="E407" s="42"/>
      <x:c r="F407" s="105"/>
      <x:c r="G407" s="106"/>
    </x:row>
    <x:row r="408" ht="22" customHeight="1">
      <x:c r="A408" s="92" t="str"/>
      <x:c r="B408" s="94" t="str">
        <x:f>IFERROR(INDEX(Employees!$A$2:$A$500,MATCH(A408,Employees!$B$2:$B$500,0)),"")</x:f>
      </x:c>
      <x:c r="C408" s="45"/>
      <x:c r="D408" s="43" t="str">
        <x:f>IFERROR(VLOOKUP(C408,Employees!$A$2:$B$500,2,FALSE),"")</x:f>
      </x:c>
      <x:c r="E408" s="42"/>
      <x:c r="F408" s="105"/>
      <x:c r="G408" s="106"/>
    </x:row>
    <x:row r="409" ht="22" customHeight="1">
      <x:c r="A409" s="92" t="str"/>
      <x:c r="B409" s="94" t="str">
        <x:f>IFERROR(INDEX(Employees!$A$2:$A$500,MATCH(A409,Employees!$B$2:$B$500,0)),"")</x:f>
      </x:c>
      <x:c r="C409" s="45"/>
      <x:c r="D409" s="43" t="str">
        <x:f>IFERROR(VLOOKUP(C409,Employees!$A$2:$B$500,2,FALSE),"")</x:f>
      </x:c>
      <x:c r="E409" s="42"/>
      <x:c r="F409" s="105"/>
      <x:c r="G409" s="106"/>
    </x:row>
    <x:row r="410" ht="22" customHeight="1">
      <x:c r="A410" s="92" t="str"/>
      <x:c r="B410" s="94" t="str">
        <x:f>IFERROR(INDEX(Employees!$A$2:$A$500,MATCH(A410,Employees!$B$2:$B$500,0)),"")</x:f>
      </x:c>
      <x:c r="C410" s="45"/>
      <x:c r="D410" s="43" t="str">
        <x:f>IFERROR(VLOOKUP(C410,Employees!$A$2:$B$500,2,FALSE),"")</x:f>
      </x:c>
      <x:c r="E410" s="42"/>
      <x:c r="F410" s="105"/>
      <x:c r="G410" s="106"/>
    </x:row>
    <x:row r="411" ht="22" customHeight="1">
      <x:c r="A411" s="92" t="str"/>
      <x:c r="B411" s="94" t="str">
        <x:f>IFERROR(INDEX(Employees!$A$2:$A$500,MATCH(A411,Employees!$B$2:$B$500,0)),"")</x:f>
      </x:c>
      <x:c r="C411" s="45"/>
      <x:c r="D411" s="43" t="str">
        <x:f>IFERROR(VLOOKUP(C411,Employees!$A$2:$B$500,2,FALSE),"")</x:f>
      </x:c>
      <x:c r="E411" s="42"/>
      <x:c r="F411" s="105"/>
      <x:c r="G411" s="106"/>
    </x:row>
    <x:row r="412" ht="22" customHeight="1">
      <x:c r="A412" s="92" t="str"/>
      <x:c r="B412" s="94" t="str">
        <x:f>IFERROR(INDEX(Employees!$A$2:$A$500,MATCH(A412,Employees!$B$2:$B$500,0)),"")</x:f>
      </x:c>
      <x:c r="C412" s="45"/>
      <x:c r="D412" s="43" t="str">
        <x:f>IFERROR(VLOOKUP(C412,Employees!$A$2:$B$500,2,FALSE),"")</x:f>
      </x:c>
      <x:c r="E412" s="42"/>
      <x:c r="F412" s="105"/>
      <x:c r="G412" s="106"/>
    </x:row>
    <x:row r="413" ht="22" customHeight="1">
      <x:c r="A413" s="92" t="str"/>
      <x:c r="B413" s="94" t="str">
        <x:f>IFERROR(INDEX(Employees!$A$2:$A$500,MATCH(A413,Employees!$B$2:$B$500,0)),"")</x:f>
      </x:c>
      <x:c r="C413" s="45"/>
      <x:c r="D413" s="43" t="str">
        <x:f>IFERROR(VLOOKUP(C413,Employees!$A$2:$B$500,2,FALSE),"")</x:f>
      </x:c>
      <x:c r="E413" s="42"/>
      <x:c r="F413" s="105"/>
      <x:c r="G413" s="106"/>
    </x:row>
    <x:row r="414" ht="22" customHeight="1">
      <x:c r="A414" s="92" t="str"/>
      <x:c r="B414" s="94" t="str">
        <x:f>IFERROR(INDEX(Employees!$A$2:$A$500,MATCH(A414,Employees!$B$2:$B$500,0)),"")</x:f>
      </x:c>
      <x:c r="C414" s="45"/>
      <x:c r="D414" s="43" t="str">
        <x:f>IFERROR(VLOOKUP(C414,Employees!$A$2:$B$500,2,FALSE),"")</x:f>
      </x:c>
      <x:c r="E414" s="42"/>
      <x:c r="F414" s="105"/>
      <x:c r="G414" s="106"/>
    </x:row>
    <x:row r="415" ht="22" customHeight="1">
      <x:c r="A415" s="92" t="str"/>
      <x:c r="B415" s="94" t="str">
        <x:f>IFERROR(INDEX(Employees!$A$2:$A$500,MATCH(A415,Employees!$B$2:$B$500,0)),"")</x:f>
      </x:c>
      <x:c r="C415" s="45"/>
      <x:c r="D415" s="43" t="str">
        <x:f>IFERROR(VLOOKUP(C415,Employees!$A$2:$B$500,2,FALSE),"")</x:f>
      </x:c>
      <x:c r="E415" s="42"/>
      <x:c r="F415" s="105"/>
      <x:c r="G415" s="106"/>
    </x:row>
    <x:row r="416" ht="22" customHeight="1">
      <x:c r="A416" s="92" t="str"/>
      <x:c r="B416" s="94" t="str">
        <x:f>IFERROR(INDEX(Employees!$A$2:$A$500,MATCH(A416,Employees!$B$2:$B$500,0)),"")</x:f>
      </x:c>
      <x:c r="C416" s="45"/>
      <x:c r="D416" s="43" t="str">
        <x:f>IFERROR(VLOOKUP(C416,Employees!$A$2:$B$500,2,FALSE),"")</x:f>
      </x:c>
      <x:c r="E416" s="42"/>
      <x:c r="F416" s="105"/>
      <x:c r="G416" s="106"/>
    </x:row>
    <x:row r="417" ht="22" customHeight="1">
      <x:c r="A417" s="92" t="str"/>
      <x:c r="B417" s="94" t="str">
        <x:f>IFERROR(INDEX(Employees!$A$2:$A$500,MATCH(A417,Employees!$B$2:$B$500,0)),"")</x:f>
      </x:c>
      <x:c r="C417" s="45"/>
      <x:c r="D417" s="43" t="str">
        <x:f>IFERROR(VLOOKUP(C417,Employees!$A$2:$B$500,2,FALSE),"")</x:f>
      </x:c>
      <x:c r="E417" s="42"/>
      <x:c r="F417" s="105"/>
      <x:c r="G417" s="106"/>
    </x:row>
    <x:row r="418" ht="22" customHeight="1">
      <x:c r="A418" s="92" t="str"/>
      <x:c r="B418" s="94" t="str">
        <x:f>IFERROR(INDEX(Employees!$A$2:$A$500,MATCH(A418,Employees!$B$2:$B$500,0)),"")</x:f>
      </x:c>
      <x:c r="C418" s="45"/>
      <x:c r="D418" s="43" t="str">
        <x:f>IFERROR(VLOOKUP(C418,Employees!$A$2:$B$500,2,FALSE),"")</x:f>
      </x:c>
      <x:c r="E418" s="42"/>
      <x:c r="F418" s="105"/>
      <x:c r="G418" s="106"/>
    </x:row>
    <x:row r="419" ht="22" customHeight="1">
      <x:c r="A419" s="92" t="str"/>
      <x:c r="B419" s="94" t="str">
        <x:f>IFERROR(INDEX(Employees!$A$2:$A$500,MATCH(A419,Employees!$B$2:$B$500,0)),"")</x:f>
      </x:c>
      <x:c r="C419" s="45"/>
      <x:c r="D419" s="43" t="str">
        <x:f>IFERROR(VLOOKUP(C419,Employees!$A$2:$B$500,2,FALSE),"")</x:f>
      </x:c>
      <x:c r="E419" s="42"/>
      <x:c r="F419" s="105"/>
      <x:c r="G419" s="106"/>
    </x:row>
    <x:row r="420" ht="22" customHeight="1">
      <x:c r="A420" s="92" t="str"/>
      <x:c r="B420" s="94" t="str">
        <x:f>IFERROR(INDEX(Employees!$A$2:$A$500,MATCH(A420,Employees!$B$2:$B$500,0)),"")</x:f>
      </x:c>
      <x:c r="C420" s="45"/>
      <x:c r="D420" s="43" t="str">
        <x:f>IFERROR(VLOOKUP(C420,Employees!$A$2:$B$500,2,FALSE),"")</x:f>
      </x:c>
      <x:c r="E420" s="42"/>
      <x:c r="F420" s="105"/>
      <x:c r="G420" s="106"/>
    </x:row>
    <x:row r="421" ht="22" customHeight="1">
      <x:c r="A421" s="92" t="str"/>
      <x:c r="B421" s="94" t="str">
        <x:f>IFERROR(INDEX(Employees!$A$2:$A$500,MATCH(A421,Employees!$B$2:$B$500,0)),"")</x:f>
      </x:c>
      <x:c r="C421" s="45"/>
      <x:c r="D421" s="43" t="str">
        <x:f>IFERROR(VLOOKUP(C421,Employees!$A$2:$B$500,2,FALSE),"")</x:f>
      </x:c>
      <x:c r="E421" s="42"/>
      <x:c r="F421" s="105"/>
      <x:c r="G421" s="106"/>
    </x:row>
    <x:row r="422" ht="22" customHeight="1">
      <x:c r="A422" s="92" t="str"/>
      <x:c r="B422" s="94" t="str">
        <x:f>IFERROR(INDEX(Employees!$A$2:$A$500,MATCH(A422,Employees!$B$2:$B$500,0)),"")</x:f>
      </x:c>
      <x:c r="C422" s="45"/>
      <x:c r="D422" s="43" t="str">
        <x:f>IFERROR(VLOOKUP(C422,Employees!$A$2:$B$500,2,FALSE),"")</x:f>
      </x:c>
      <x:c r="E422" s="42"/>
      <x:c r="F422" s="105"/>
      <x:c r="G422" s="106"/>
    </x:row>
    <x:row r="423" ht="22" customHeight="1">
      <x:c r="A423" s="92" t="str"/>
      <x:c r="B423" s="94" t="str">
        <x:f>IFERROR(INDEX(Employees!$A$2:$A$500,MATCH(A423,Employees!$B$2:$B$500,0)),"")</x:f>
      </x:c>
      <x:c r="C423" s="45"/>
      <x:c r="D423" s="43" t="str">
        <x:f>IFERROR(VLOOKUP(C423,Employees!$A$2:$B$500,2,FALSE),"")</x:f>
      </x:c>
      <x:c r="E423" s="42"/>
      <x:c r="F423" s="105"/>
      <x:c r="G423" s="106"/>
    </x:row>
    <x:row r="424" ht="22" customHeight="1">
      <x:c r="A424" s="92" t="str"/>
      <x:c r="B424" s="94" t="str">
        <x:f>IFERROR(INDEX(Employees!$A$2:$A$500,MATCH(A424,Employees!$B$2:$B$500,0)),"")</x:f>
      </x:c>
      <x:c r="C424" s="45"/>
      <x:c r="D424" s="43" t="str">
        <x:f>IFERROR(VLOOKUP(C424,Employees!$A$2:$B$500,2,FALSE),"")</x:f>
      </x:c>
      <x:c r="E424" s="42"/>
      <x:c r="F424" s="105"/>
      <x:c r="G424" s="106"/>
    </x:row>
    <x:row r="425" ht="22" customHeight="1">
      <x:c r="A425" s="92" t="str"/>
      <x:c r="B425" s="94" t="str">
        <x:f>IFERROR(INDEX(Employees!$A$2:$A$500,MATCH(A425,Employees!$B$2:$B$500,0)),"")</x:f>
      </x:c>
      <x:c r="C425" s="45"/>
      <x:c r="D425" s="43" t="str">
        <x:f>IFERROR(VLOOKUP(C425,Employees!$A$2:$B$500,2,FALSE),"")</x:f>
      </x:c>
      <x:c r="E425" s="42"/>
      <x:c r="F425" s="105"/>
      <x:c r="G425" s="106"/>
    </x:row>
    <x:row r="426" ht="22" customHeight="1">
      <x:c r="A426" s="92" t="str"/>
      <x:c r="B426" s="94" t="str">
        <x:f>IFERROR(INDEX(Employees!$A$2:$A$500,MATCH(A426,Employees!$B$2:$B$500,0)),"")</x:f>
      </x:c>
      <x:c r="C426" s="45"/>
      <x:c r="D426" s="43" t="str">
        <x:f>IFERROR(VLOOKUP(C426,Employees!$A$2:$B$500,2,FALSE),"")</x:f>
      </x:c>
      <x:c r="E426" s="42"/>
      <x:c r="F426" s="105"/>
      <x:c r="G426" s="106"/>
    </x:row>
    <x:row r="427" ht="22" customHeight="1">
      <x:c r="A427" s="92" t="str"/>
      <x:c r="B427" s="94" t="str">
        <x:f>IFERROR(INDEX(Employees!$A$2:$A$500,MATCH(A427,Employees!$B$2:$B$500,0)),"")</x:f>
      </x:c>
      <x:c r="C427" s="45"/>
      <x:c r="D427" s="43" t="str">
        <x:f>IFERROR(VLOOKUP(C427,Employees!$A$2:$B$500,2,FALSE),"")</x:f>
      </x:c>
      <x:c r="E427" s="42"/>
      <x:c r="F427" s="105"/>
      <x:c r="G427" s="106"/>
    </x:row>
    <x:row r="428" ht="22" customHeight="1">
      <x:c r="A428" s="92" t="str"/>
      <x:c r="B428" s="94" t="str">
        <x:f>IFERROR(INDEX(Employees!$A$2:$A$500,MATCH(A428,Employees!$B$2:$B$500,0)),"")</x:f>
      </x:c>
      <x:c r="C428" s="45"/>
      <x:c r="D428" s="43" t="str">
        <x:f>IFERROR(VLOOKUP(C428,Employees!$A$2:$B$500,2,FALSE),"")</x:f>
      </x:c>
      <x:c r="E428" s="42"/>
      <x:c r="F428" s="105"/>
      <x:c r="G428" s="106"/>
    </x:row>
    <x:row r="429" ht="22" customHeight="1">
      <x:c r="A429" s="92" t="str"/>
      <x:c r="B429" s="94" t="str">
        <x:f>IFERROR(INDEX(Employees!$A$2:$A$500,MATCH(A429,Employees!$B$2:$B$500,0)),"")</x:f>
      </x:c>
      <x:c r="C429" s="45"/>
      <x:c r="D429" s="43" t="str">
        <x:f>IFERROR(VLOOKUP(C429,Employees!$A$2:$B$500,2,FALSE),"")</x:f>
      </x:c>
      <x:c r="E429" s="42"/>
      <x:c r="F429" s="105"/>
      <x:c r="G429" s="106"/>
    </x:row>
    <x:row r="430" ht="22" customHeight="1">
      <x:c r="A430" s="92" t="str"/>
      <x:c r="B430" s="94" t="str">
        <x:f>IFERROR(INDEX(Employees!$A$2:$A$500,MATCH(A430,Employees!$B$2:$B$500,0)),"")</x:f>
      </x:c>
      <x:c r="C430" s="45"/>
      <x:c r="D430" s="43" t="str">
        <x:f>IFERROR(VLOOKUP(C430,Employees!$A$2:$B$500,2,FALSE),"")</x:f>
      </x:c>
      <x:c r="E430" s="42"/>
      <x:c r="F430" s="105"/>
      <x:c r="G430" s="106"/>
    </x:row>
    <x:row r="431" ht="22" customHeight="1">
      <x:c r="A431" s="92" t="str"/>
      <x:c r="B431" s="94" t="str">
        <x:f>IFERROR(INDEX(Employees!$A$2:$A$500,MATCH(A431,Employees!$B$2:$B$500,0)),"")</x:f>
      </x:c>
      <x:c r="C431" s="45"/>
      <x:c r="D431" s="43" t="str">
        <x:f>IFERROR(VLOOKUP(C431,Employees!$A$2:$B$500,2,FALSE),"")</x:f>
      </x:c>
      <x:c r="E431" s="42"/>
      <x:c r="F431" s="105"/>
      <x:c r="G431" s="106"/>
    </x:row>
    <x:row r="432" ht="22" customHeight="1">
      <x:c r="A432" s="92" t="str"/>
      <x:c r="B432" s="94" t="str">
        <x:f>IFERROR(INDEX(Employees!$A$2:$A$500,MATCH(A432,Employees!$B$2:$B$500,0)),"")</x:f>
      </x:c>
      <x:c r="C432" s="45"/>
      <x:c r="D432" s="43" t="str">
        <x:f>IFERROR(VLOOKUP(C432,Employees!$A$2:$B$500,2,FALSE),"")</x:f>
      </x:c>
      <x:c r="E432" s="42"/>
      <x:c r="F432" s="105"/>
      <x:c r="G432" s="106"/>
    </x:row>
    <x:row r="433" ht="22" customHeight="1">
      <x:c r="A433" s="92" t="str"/>
      <x:c r="B433" s="94" t="str">
        <x:f>IFERROR(INDEX(Employees!$A$2:$A$500,MATCH(A433,Employees!$B$2:$B$500,0)),"")</x:f>
      </x:c>
      <x:c r="C433" s="45"/>
      <x:c r="D433" s="43" t="str">
        <x:f>IFERROR(VLOOKUP(C433,Employees!$A$2:$B$500,2,FALSE),"")</x:f>
      </x:c>
      <x:c r="E433" s="42"/>
      <x:c r="F433" s="105"/>
      <x:c r="G433" s="106"/>
    </x:row>
    <x:row r="434" ht="22" customHeight="1">
      <x:c r="A434" s="92" t="str"/>
      <x:c r="B434" s="94" t="str">
        <x:f>IFERROR(INDEX(Employees!$A$2:$A$500,MATCH(A434,Employees!$B$2:$B$500,0)),"")</x:f>
      </x:c>
      <x:c r="C434" s="45"/>
      <x:c r="D434" s="43" t="str">
        <x:f>IFERROR(VLOOKUP(C434,Employees!$A$2:$B$500,2,FALSE),"")</x:f>
      </x:c>
      <x:c r="E434" s="42"/>
      <x:c r="F434" s="105"/>
      <x:c r="G434" s="106"/>
    </x:row>
    <x:row r="435" ht="22" customHeight="1">
      <x:c r="A435" s="92" t="str"/>
      <x:c r="B435" s="94" t="str">
        <x:f>IFERROR(INDEX(Employees!$A$2:$A$500,MATCH(A435,Employees!$B$2:$B$500,0)),"")</x:f>
      </x:c>
      <x:c r="C435" s="45"/>
      <x:c r="D435" s="43" t="str">
        <x:f>IFERROR(VLOOKUP(C435,Employees!$A$2:$B$500,2,FALSE),"")</x:f>
      </x:c>
      <x:c r="E435" s="42"/>
      <x:c r="F435" s="105"/>
      <x:c r="G435" s="106"/>
    </x:row>
    <x:row r="436" ht="22" customHeight="1">
      <x:c r="A436" s="92" t="str"/>
      <x:c r="B436" s="94" t="str">
        <x:f>IFERROR(INDEX(Employees!$A$2:$A$500,MATCH(A436,Employees!$B$2:$B$500,0)),"")</x:f>
      </x:c>
      <x:c r="C436" s="45"/>
      <x:c r="D436" s="43" t="str">
        <x:f>IFERROR(VLOOKUP(C436,Employees!$A$2:$B$500,2,FALSE),"")</x:f>
      </x:c>
      <x:c r="E436" s="42"/>
      <x:c r="F436" s="105"/>
      <x:c r="G436" s="106"/>
    </x:row>
    <x:row r="437" ht="22" customHeight="1">
      <x:c r="A437" s="92" t="str"/>
      <x:c r="B437" s="94" t="str">
        <x:f>IFERROR(INDEX(Employees!$A$2:$A$500,MATCH(A437,Employees!$B$2:$B$500,0)),"")</x:f>
      </x:c>
      <x:c r="C437" s="45"/>
      <x:c r="D437" s="43" t="str">
        <x:f>IFERROR(VLOOKUP(C437,Employees!$A$2:$B$500,2,FALSE),"")</x:f>
      </x:c>
      <x:c r="E437" s="42"/>
      <x:c r="F437" s="105"/>
      <x:c r="G437" s="106"/>
    </x:row>
    <x:row r="438" ht="22" customHeight="1">
      <x:c r="A438" s="92" t="str"/>
      <x:c r="B438" s="94" t="str">
        <x:f>IFERROR(INDEX(Employees!$A$2:$A$500,MATCH(A438,Employees!$B$2:$B$500,0)),"")</x:f>
      </x:c>
      <x:c r="C438" s="45"/>
      <x:c r="D438" s="43" t="str">
        <x:f>IFERROR(VLOOKUP(C438,Employees!$A$2:$B$500,2,FALSE),"")</x:f>
      </x:c>
      <x:c r="E438" s="42"/>
      <x:c r="F438" s="105"/>
      <x:c r="G438" s="106"/>
    </x:row>
    <x:row r="439" ht="22" customHeight="1">
      <x:c r="A439" s="92" t="str"/>
      <x:c r="B439" s="94" t="str">
        <x:f>IFERROR(INDEX(Employees!$A$2:$A$500,MATCH(A439,Employees!$B$2:$B$500,0)),"")</x:f>
      </x:c>
      <x:c r="C439" s="45"/>
      <x:c r="D439" s="43" t="str">
        <x:f>IFERROR(VLOOKUP(C439,Employees!$A$2:$B$500,2,FALSE),"")</x:f>
      </x:c>
      <x:c r="E439" s="42"/>
      <x:c r="F439" s="105"/>
      <x:c r="G439" s="106"/>
    </x:row>
    <x:row r="440" ht="22" customHeight="1">
      <x:c r="A440" s="92" t="str"/>
      <x:c r="B440" s="94" t="str">
        <x:f>IFERROR(INDEX(Employees!$A$2:$A$500,MATCH(A440,Employees!$B$2:$B$500,0)),"")</x:f>
      </x:c>
      <x:c r="C440" s="45"/>
      <x:c r="D440" s="43" t="str">
        <x:f>IFERROR(VLOOKUP(C440,Employees!$A$2:$B$500,2,FALSE),"")</x:f>
      </x:c>
      <x:c r="E440" s="42"/>
      <x:c r="F440" s="105"/>
      <x:c r="G440" s="106"/>
    </x:row>
    <x:row r="441" ht="22" customHeight="1">
      <x:c r="A441" s="92" t="str"/>
      <x:c r="B441" s="94" t="str">
        <x:f>IFERROR(INDEX(Employees!$A$2:$A$500,MATCH(A441,Employees!$B$2:$B$500,0)),"")</x:f>
      </x:c>
      <x:c r="C441" s="45"/>
      <x:c r="D441" s="43" t="str">
        <x:f>IFERROR(VLOOKUP(C441,Employees!$A$2:$B$500,2,FALSE),"")</x:f>
      </x:c>
      <x:c r="E441" s="42"/>
      <x:c r="F441" s="105"/>
      <x:c r="G441" s="106"/>
    </x:row>
    <x:row r="442" ht="22" customHeight="1">
      <x:c r="A442" s="92" t="str"/>
      <x:c r="B442" s="94" t="str">
        <x:f>IFERROR(INDEX(Employees!$A$2:$A$500,MATCH(A442,Employees!$B$2:$B$500,0)),"")</x:f>
      </x:c>
      <x:c r="C442" s="45"/>
      <x:c r="D442" s="43" t="str">
        <x:f>IFERROR(VLOOKUP(C442,Employees!$A$2:$B$500,2,FALSE),"")</x:f>
      </x:c>
      <x:c r="E442" s="42"/>
      <x:c r="F442" s="105"/>
      <x:c r="G442" s="106"/>
    </x:row>
    <x:row r="443" ht="22" customHeight="1">
      <x:c r="A443" s="92" t="str"/>
      <x:c r="B443" s="94" t="str">
        <x:f>IFERROR(INDEX(Employees!$A$2:$A$500,MATCH(A443,Employees!$B$2:$B$500,0)),"")</x:f>
      </x:c>
      <x:c r="C443" s="45"/>
      <x:c r="D443" s="43" t="str">
        <x:f>IFERROR(VLOOKUP(C443,Employees!$A$2:$B$500,2,FALSE),"")</x:f>
      </x:c>
      <x:c r="E443" s="42"/>
      <x:c r="F443" s="105"/>
      <x:c r="G443" s="106"/>
    </x:row>
    <x:row r="444" ht="22" customHeight="1">
      <x:c r="A444" s="92" t="str"/>
      <x:c r="B444" s="94" t="str">
        <x:f>IFERROR(INDEX(Employees!$A$2:$A$500,MATCH(A444,Employees!$B$2:$B$500,0)),"")</x:f>
      </x:c>
      <x:c r="C444" s="45"/>
      <x:c r="D444" s="43" t="str">
        <x:f>IFERROR(VLOOKUP(C444,Employees!$A$2:$B$500,2,FALSE),"")</x:f>
      </x:c>
      <x:c r="E444" s="42"/>
      <x:c r="F444" s="105"/>
      <x:c r="G444" s="106"/>
    </x:row>
    <x:row r="445" ht="22" customHeight="1">
      <x:c r="A445" s="92" t="str"/>
      <x:c r="B445" s="94" t="str">
        <x:f>IFERROR(INDEX(Employees!$A$2:$A$500,MATCH(A445,Employees!$B$2:$B$500,0)),"")</x:f>
      </x:c>
      <x:c r="C445" s="45"/>
      <x:c r="D445" s="43" t="str">
        <x:f>IFERROR(VLOOKUP(C445,Employees!$A$2:$B$500,2,FALSE),"")</x:f>
      </x:c>
      <x:c r="E445" s="42"/>
      <x:c r="F445" s="105"/>
      <x:c r="G445" s="106"/>
    </x:row>
    <x:row r="446" ht="22" customHeight="1">
      <x:c r="A446" s="92" t="str"/>
      <x:c r="B446" s="94" t="str">
        <x:f>IFERROR(INDEX(Employees!$A$2:$A$500,MATCH(A446,Employees!$B$2:$B$500,0)),"")</x:f>
      </x:c>
      <x:c r="C446" s="45"/>
      <x:c r="D446" s="43" t="str">
        <x:f>IFERROR(VLOOKUP(C446,Employees!$A$2:$B$500,2,FALSE),"")</x:f>
      </x:c>
      <x:c r="E446" s="42"/>
      <x:c r="F446" s="105"/>
      <x:c r="G446" s="106"/>
    </x:row>
    <x:row r="447" ht="22" customHeight="1">
      <x:c r="A447" s="92" t="str"/>
      <x:c r="B447" s="94" t="str">
        <x:f>IFERROR(INDEX(Employees!$A$2:$A$500,MATCH(A447,Employees!$B$2:$B$500,0)),"")</x:f>
      </x:c>
      <x:c r="C447" s="45"/>
      <x:c r="D447" s="43" t="str">
        <x:f>IFERROR(VLOOKUP(C447,Employees!$A$2:$B$500,2,FALSE),"")</x:f>
      </x:c>
      <x:c r="E447" s="42"/>
      <x:c r="F447" s="105"/>
      <x:c r="G447" s="106"/>
    </x:row>
    <x:row r="448" ht="22" customHeight="1">
      <x:c r="A448" s="92" t="str"/>
      <x:c r="B448" s="94" t="str">
        <x:f>IFERROR(INDEX(Employees!$A$2:$A$500,MATCH(A448,Employees!$B$2:$B$500,0)),"")</x:f>
      </x:c>
      <x:c r="C448" s="45"/>
      <x:c r="D448" s="43" t="str">
        <x:f>IFERROR(VLOOKUP(C448,Employees!$A$2:$B$500,2,FALSE),"")</x:f>
      </x:c>
      <x:c r="E448" s="42"/>
      <x:c r="F448" s="105"/>
      <x:c r="G448" s="106"/>
    </x:row>
    <x:row r="449" ht="22" customHeight="1">
      <x:c r="A449" s="92" t="str"/>
      <x:c r="B449" s="94" t="str">
        <x:f>IFERROR(INDEX(Employees!$A$2:$A$500,MATCH(A449,Employees!$B$2:$B$500,0)),"")</x:f>
      </x:c>
      <x:c r="C449" s="45"/>
      <x:c r="D449" s="43" t="str">
        <x:f>IFERROR(VLOOKUP(C449,Employees!$A$2:$B$500,2,FALSE),"")</x:f>
      </x:c>
      <x:c r="E449" s="42"/>
      <x:c r="F449" s="105"/>
      <x:c r="G449" s="106"/>
    </x:row>
    <x:row r="450" ht="22" customHeight="1">
      <x:c r="A450" s="92" t="str"/>
      <x:c r="B450" s="94" t="str">
        <x:f>IFERROR(INDEX(Employees!$A$2:$A$500,MATCH(A450,Employees!$B$2:$B$500,0)),"")</x:f>
      </x:c>
      <x:c r="C450" s="45"/>
      <x:c r="D450" s="43" t="str">
        <x:f>IFERROR(VLOOKUP(C450,Employees!$A$2:$B$500,2,FALSE),"")</x:f>
      </x:c>
      <x:c r="E450" s="42"/>
      <x:c r="F450" s="105"/>
      <x:c r="G450" s="106"/>
    </x:row>
    <x:row r="451" ht="22" customHeight="1">
      <x:c r="A451" s="92" t="str"/>
      <x:c r="B451" s="94" t="str">
        <x:f>IFERROR(INDEX(Employees!$A$2:$A$500,MATCH(A451,Employees!$B$2:$B$500,0)),"")</x:f>
      </x:c>
      <x:c r="C451" s="45"/>
      <x:c r="D451" s="43" t="str">
        <x:f>IFERROR(VLOOKUP(C451,Employees!$A$2:$B$500,2,FALSE),"")</x:f>
      </x:c>
      <x:c r="E451" s="42"/>
      <x:c r="F451" s="105"/>
      <x:c r="G451" s="106"/>
    </x:row>
    <x:row r="452" ht="22" customHeight="1">
      <x:c r="A452" s="92" t="str"/>
      <x:c r="B452" s="94" t="str">
        <x:f>IFERROR(INDEX(Employees!$A$2:$A$500,MATCH(A452,Employees!$B$2:$B$500,0)),"")</x:f>
      </x:c>
      <x:c r="C452" s="45"/>
      <x:c r="D452" s="43" t="str">
        <x:f>IFERROR(VLOOKUP(C452,Employees!$A$2:$B$500,2,FALSE),"")</x:f>
      </x:c>
      <x:c r="E452" s="42"/>
      <x:c r="F452" s="105"/>
      <x:c r="G452" s="106"/>
    </x:row>
    <x:row r="453" ht="22" customHeight="1">
      <x:c r="A453" s="92" t="str"/>
      <x:c r="B453" s="94" t="str">
        <x:f>IFERROR(INDEX(Employees!$A$2:$A$500,MATCH(A453,Employees!$B$2:$B$500,0)),"")</x:f>
      </x:c>
      <x:c r="C453" s="45"/>
      <x:c r="D453" s="43" t="str">
        <x:f>IFERROR(VLOOKUP(C453,Employees!$A$2:$B$500,2,FALSE),"")</x:f>
      </x:c>
      <x:c r="E453" s="42"/>
      <x:c r="F453" s="105"/>
      <x:c r="G453" s="106"/>
    </x:row>
    <x:row r="454" ht="22" customHeight="1">
      <x:c r="A454" s="92" t="str"/>
      <x:c r="B454" s="94" t="str">
        <x:f>IFERROR(INDEX(Employees!$A$2:$A$500,MATCH(A454,Employees!$B$2:$B$500,0)),"")</x:f>
      </x:c>
      <x:c r="C454" s="45"/>
      <x:c r="D454" s="43" t="str">
        <x:f>IFERROR(VLOOKUP(C454,Employees!$A$2:$B$500,2,FALSE),"")</x:f>
      </x:c>
      <x:c r="E454" s="42"/>
      <x:c r="F454" s="105"/>
      <x:c r="G454" s="106"/>
    </x:row>
    <x:row r="455" ht="22" customHeight="1">
      <x:c r="A455" s="92" t="str"/>
      <x:c r="B455" s="94" t="str">
        <x:f>IFERROR(INDEX(Employees!$A$2:$A$500,MATCH(A455,Employees!$B$2:$B$500,0)),"")</x:f>
      </x:c>
      <x:c r="C455" s="45"/>
      <x:c r="D455" s="43" t="str">
        <x:f>IFERROR(VLOOKUP(C455,Employees!$A$2:$B$500,2,FALSE),"")</x:f>
      </x:c>
      <x:c r="E455" s="42"/>
      <x:c r="F455" s="105"/>
      <x:c r="G455" s="106"/>
    </x:row>
    <x:row r="456" ht="22" customHeight="1">
      <x:c r="A456" s="92" t="str"/>
      <x:c r="B456" s="94" t="str">
        <x:f>IFERROR(INDEX(Employees!$A$2:$A$500,MATCH(A456,Employees!$B$2:$B$500,0)),"")</x:f>
      </x:c>
      <x:c r="C456" s="45"/>
      <x:c r="D456" s="43" t="str">
        <x:f>IFERROR(VLOOKUP(C456,Employees!$A$2:$B$500,2,FALSE),"")</x:f>
      </x:c>
      <x:c r="E456" s="42"/>
      <x:c r="F456" s="105"/>
      <x:c r="G456" s="106"/>
    </x:row>
    <x:row r="457" ht="22" customHeight="1">
      <x:c r="A457" s="92" t="str"/>
      <x:c r="B457" s="94" t="str">
        <x:f>IFERROR(INDEX(Employees!$A$2:$A$500,MATCH(A457,Employees!$B$2:$B$500,0)),"")</x:f>
      </x:c>
      <x:c r="C457" s="45"/>
      <x:c r="D457" s="43" t="str">
        <x:f>IFERROR(VLOOKUP(C457,Employees!$A$2:$B$500,2,FALSE),"")</x:f>
      </x:c>
      <x:c r="E457" s="42"/>
      <x:c r="F457" s="105"/>
      <x:c r="G457" s="106"/>
    </x:row>
    <x:row r="458" ht="22" customHeight="1">
      <x:c r="A458" s="92" t="str"/>
      <x:c r="B458" s="94" t="str">
        <x:f>IFERROR(INDEX(Employees!$A$2:$A$500,MATCH(A458,Employees!$B$2:$B$500,0)),"")</x:f>
      </x:c>
      <x:c r="C458" s="45"/>
      <x:c r="D458" s="43" t="str">
        <x:f>IFERROR(VLOOKUP(C458,Employees!$A$2:$B$500,2,FALSE),"")</x:f>
      </x:c>
      <x:c r="E458" s="42"/>
      <x:c r="F458" s="105"/>
      <x:c r="G458" s="106"/>
    </x:row>
    <x:row r="459" ht="22" customHeight="1">
      <x:c r="A459" s="92" t="str"/>
      <x:c r="B459" s="94" t="str">
        <x:f>IFERROR(INDEX(Employees!$A$2:$A$500,MATCH(A459,Employees!$B$2:$B$500,0)),"")</x:f>
      </x:c>
      <x:c r="C459" s="45"/>
      <x:c r="D459" s="43" t="str">
        <x:f>IFERROR(VLOOKUP(C459,Employees!$A$2:$B$500,2,FALSE),"")</x:f>
      </x:c>
      <x:c r="E459" s="42"/>
      <x:c r="F459" s="105"/>
      <x:c r="G459" s="106"/>
    </x:row>
    <x:row r="460" ht="22" customHeight="1">
      <x:c r="A460" s="92" t="str"/>
      <x:c r="B460" s="94" t="str">
        <x:f>IFERROR(INDEX(Employees!$A$2:$A$500,MATCH(A460,Employees!$B$2:$B$500,0)),"")</x:f>
      </x:c>
      <x:c r="C460" s="45"/>
      <x:c r="D460" s="43" t="str">
        <x:f>IFERROR(VLOOKUP(C460,Employees!$A$2:$B$500,2,FALSE),"")</x:f>
      </x:c>
      <x:c r="E460" s="42"/>
      <x:c r="F460" s="105"/>
      <x:c r="G460" s="106"/>
    </x:row>
    <x:row r="461" ht="22" customHeight="1">
      <x:c r="A461" s="92" t="str"/>
      <x:c r="B461" s="94" t="str">
        <x:f>IFERROR(INDEX(Employees!$A$2:$A$500,MATCH(A461,Employees!$B$2:$B$500,0)),"")</x:f>
      </x:c>
      <x:c r="C461" s="45"/>
      <x:c r="D461" s="43" t="str">
        <x:f>IFERROR(VLOOKUP(C461,Employees!$A$2:$B$500,2,FALSE),"")</x:f>
      </x:c>
      <x:c r="E461" s="42"/>
      <x:c r="F461" s="105"/>
      <x:c r="G461" s="106"/>
    </x:row>
    <x:row r="462" ht="22" customHeight="1">
      <x:c r="A462" s="92" t="str"/>
      <x:c r="B462" s="94" t="str">
        <x:f>IFERROR(INDEX(Employees!$A$2:$A$500,MATCH(A462,Employees!$B$2:$B$500,0)),"")</x:f>
      </x:c>
      <x:c r="C462" s="45"/>
      <x:c r="D462" s="43" t="str">
        <x:f>IFERROR(VLOOKUP(C462,Employees!$A$2:$B$500,2,FALSE),"")</x:f>
      </x:c>
      <x:c r="E462" s="42"/>
      <x:c r="F462" s="105"/>
      <x:c r="G462" s="106"/>
    </x:row>
    <x:row r="463" ht="22" customHeight="1">
      <x:c r="A463" s="92" t="str"/>
      <x:c r="B463" s="94" t="str">
        <x:f>IFERROR(INDEX(Employees!$A$2:$A$500,MATCH(A463,Employees!$B$2:$B$500,0)),"")</x:f>
      </x:c>
      <x:c r="C463" s="45"/>
      <x:c r="D463" s="43" t="str">
        <x:f>IFERROR(VLOOKUP(C463,Employees!$A$2:$B$500,2,FALSE),"")</x:f>
      </x:c>
      <x:c r="E463" s="42"/>
      <x:c r="F463" s="105"/>
      <x:c r="G463" s="106"/>
    </x:row>
    <x:row r="464" ht="22" customHeight="1">
      <x:c r="A464" s="92" t="str"/>
      <x:c r="B464" s="94" t="str">
        <x:f>IFERROR(INDEX(Employees!$A$2:$A$500,MATCH(A464,Employees!$B$2:$B$500,0)),"")</x:f>
      </x:c>
      <x:c r="C464" s="45"/>
      <x:c r="D464" s="43" t="str">
        <x:f>IFERROR(VLOOKUP(C464,Employees!$A$2:$B$500,2,FALSE),"")</x:f>
      </x:c>
      <x:c r="E464" s="42"/>
      <x:c r="F464" s="105"/>
      <x:c r="G464" s="106"/>
    </x:row>
    <x:row r="465" ht="22" customHeight="1">
      <x:c r="A465" s="92" t="str"/>
      <x:c r="B465" s="94" t="str">
        <x:f>IFERROR(INDEX(Employees!$A$2:$A$500,MATCH(A465,Employees!$B$2:$B$500,0)),"")</x:f>
      </x:c>
      <x:c r="C465" s="45"/>
      <x:c r="D465" s="43" t="str">
        <x:f>IFERROR(VLOOKUP(C465,Employees!$A$2:$B$500,2,FALSE),"")</x:f>
      </x:c>
      <x:c r="E465" s="42"/>
      <x:c r="F465" s="105"/>
      <x:c r="G465" s="106"/>
    </x:row>
    <x:row r="466" ht="22" customHeight="1">
      <x:c r="A466" s="92" t="str"/>
      <x:c r="B466" s="94" t="str">
        <x:f>IFERROR(INDEX(Employees!$A$2:$A$500,MATCH(A466,Employees!$B$2:$B$500,0)),"")</x:f>
      </x:c>
      <x:c r="C466" s="45"/>
      <x:c r="D466" s="43" t="str">
        <x:f>IFERROR(VLOOKUP(C466,Employees!$A$2:$B$500,2,FALSE),"")</x:f>
      </x:c>
      <x:c r="E466" s="42"/>
      <x:c r="F466" s="105"/>
      <x:c r="G466" s="106"/>
    </x:row>
    <x:row r="467" ht="22" customHeight="1">
      <x:c r="A467" s="92" t="str"/>
      <x:c r="B467" s="94" t="str">
        <x:f>IFERROR(INDEX(Employees!$A$2:$A$500,MATCH(A467,Employees!$B$2:$B$500,0)),"")</x:f>
      </x:c>
      <x:c r="C467" s="45"/>
      <x:c r="D467" s="43" t="str">
        <x:f>IFERROR(VLOOKUP(C467,Employees!$A$2:$B$500,2,FALSE),"")</x:f>
      </x:c>
      <x:c r="E467" s="42"/>
      <x:c r="F467" s="105"/>
      <x:c r="G467" s="106"/>
    </x:row>
    <x:row r="468" ht="22" customHeight="1">
      <x:c r="A468" s="92" t="str"/>
      <x:c r="B468" s="94" t="str">
        <x:f>IFERROR(INDEX(Employees!$A$2:$A$500,MATCH(A468,Employees!$B$2:$B$500,0)),"")</x:f>
      </x:c>
      <x:c r="C468" s="45"/>
      <x:c r="D468" s="43" t="str">
        <x:f>IFERROR(VLOOKUP(C468,Employees!$A$2:$B$500,2,FALSE),"")</x:f>
      </x:c>
      <x:c r="E468" s="42"/>
      <x:c r="F468" s="105"/>
      <x:c r="G468" s="106"/>
    </x:row>
    <x:row r="469" ht="22" customHeight="1">
      <x:c r="A469" s="92" t="str"/>
      <x:c r="B469" s="94" t="str">
        <x:f>IFERROR(INDEX(Employees!$A$2:$A$500,MATCH(A469,Employees!$B$2:$B$500,0)),"")</x:f>
      </x:c>
      <x:c r="C469" s="45"/>
      <x:c r="D469" s="43" t="str">
        <x:f>IFERROR(VLOOKUP(C469,Employees!$A$2:$B$500,2,FALSE),"")</x:f>
      </x:c>
      <x:c r="E469" s="42"/>
      <x:c r="F469" s="105"/>
      <x:c r="G469" s="106"/>
    </x:row>
    <x:row r="470" ht="22" customHeight="1">
      <x:c r="A470" s="92" t="str"/>
      <x:c r="B470" s="94" t="str">
        <x:f>IFERROR(INDEX(Employees!$A$2:$A$500,MATCH(A470,Employees!$B$2:$B$500,0)),"")</x:f>
      </x:c>
      <x:c r="C470" s="45"/>
      <x:c r="D470" s="43" t="str">
        <x:f>IFERROR(VLOOKUP(C470,Employees!$A$2:$B$500,2,FALSE),"")</x:f>
      </x:c>
      <x:c r="E470" s="42"/>
      <x:c r="F470" s="105"/>
      <x:c r="G470" s="106"/>
    </x:row>
    <x:row r="471" ht="22" customHeight="1">
      <x:c r="A471" s="92" t="str"/>
      <x:c r="B471" s="94" t="str">
        <x:f>IFERROR(INDEX(Employees!$A$2:$A$500,MATCH(A471,Employees!$B$2:$B$500,0)),"")</x:f>
      </x:c>
      <x:c r="C471" s="45"/>
      <x:c r="D471" s="43" t="str">
        <x:f>IFERROR(VLOOKUP(C471,Employees!$A$2:$B$500,2,FALSE),"")</x:f>
      </x:c>
      <x:c r="E471" s="42"/>
      <x:c r="F471" s="105"/>
      <x:c r="G471" s="106"/>
    </x:row>
    <x:row r="472" ht="22" customHeight="1">
      <x:c r="A472" s="92" t="str"/>
      <x:c r="B472" s="94" t="str">
        <x:f>IFERROR(INDEX(Employees!$A$2:$A$500,MATCH(A472,Employees!$B$2:$B$500,0)),"")</x:f>
      </x:c>
      <x:c r="C472" s="45"/>
      <x:c r="D472" s="43" t="str">
        <x:f>IFERROR(VLOOKUP(C472,Employees!$A$2:$B$500,2,FALSE),"")</x:f>
      </x:c>
      <x:c r="E472" s="42"/>
      <x:c r="F472" s="105"/>
      <x:c r="G472" s="106"/>
    </x:row>
    <x:row r="473" ht="22" customHeight="1">
      <x:c r="A473" s="92" t="str"/>
      <x:c r="B473" s="94" t="str">
        <x:f>IFERROR(INDEX(Employees!$A$2:$A$500,MATCH(A473,Employees!$B$2:$B$500,0)),"")</x:f>
      </x:c>
      <x:c r="C473" s="45"/>
      <x:c r="D473" s="43" t="str">
        <x:f>IFERROR(VLOOKUP(C473,Employees!$A$2:$B$500,2,FALSE),"")</x:f>
      </x:c>
      <x:c r="E473" s="42"/>
      <x:c r="F473" s="105"/>
      <x:c r="G473" s="106"/>
    </x:row>
    <x:row r="474" ht="22" customHeight="1">
      <x:c r="A474" s="92" t="str"/>
      <x:c r="B474" s="94" t="str">
        <x:f>IFERROR(INDEX(Employees!$A$2:$A$500,MATCH(A474,Employees!$B$2:$B$500,0)),"")</x:f>
      </x:c>
      <x:c r="C474" s="45"/>
      <x:c r="D474" s="43" t="str">
        <x:f>IFERROR(VLOOKUP(C474,Employees!$A$2:$B$500,2,FALSE),"")</x:f>
      </x:c>
      <x:c r="E474" s="42"/>
      <x:c r="F474" s="105"/>
      <x:c r="G474" s="106"/>
    </x:row>
    <x:row r="475" ht="22" customHeight="1">
      <x:c r="A475" s="92" t="str"/>
      <x:c r="B475" s="94" t="str">
        <x:f>IFERROR(INDEX(Employees!$A$2:$A$500,MATCH(A475,Employees!$B$2:$B$500,0)),"")</x:f>
      </x:c>
      <x:c r="C475" s="45"/>
      <x:c r="D475" s="43" t="str">
        <x:f>IFERROR(VLOOKUP(C475,Employees!$A$2:$B$500,2,FALSE),"")</x:f>
      </x:c>
      <x:c r="E475" s="42"/>
      <x:c r="F475" s="105"/>
      <x:c r="G475" s="106"/>
    </x:row>
    <x:row r="476" ht="22" customHeight="1">
      <x:c r="A476" s="92" t="str"/>
      <x:c r="B476" s="94" t="str">
        <x:f>IFERROR(INDEX(Employees!$A$2:$A$500,MATCH(A476,Employees!$B$2:$B$500,0)),"")</x:f>
      </x:c>
      <x:c r="C476" s="45"/>
      <x:c r="D476" s="43" t="str">
        <x:f>IFERROR(VLOOKUP(C476,Employees!$A$2:$B$500,2,FALSE),"")</x:f>
      </x:c>
      <x:c r="E476" s="42"/>
      <x:c r="F476" s="105"/>
      <x:c r="G476" s="106"/>
    </x:row>
    <x:row r="477" ht="22" customHeight="1">
      <x:c r="A477" s="92" t="str"/>
      <x:c r="B477" s="94" t="str">
        <x:f>IFERROR(INDEX(Employees!$A$2:$A$500,MATCH(A477,Employees!$B$2:$B$500,0)),"")</x:f>
      </x:c>
      <x:c r="C477" s="45"/>
      <x:c r="D477" s="43" t="str">
        <x:f>IFERROR(VLOOKUP(C477,Employees!$A$2:$B$500,2,FALSE),"")</x:f>
      </x:c>
      <x:c r="E477" s="42"/>
      <x:c r="F477" s="105"/>
      <x:c r="G477" s="106"/>
    </x:row>
    <x:row r="478" ht="22" customHeight="1">
      <x:c r="A478" s="92" t="str"/>
      <x:c r="B478" s="94" t="str">
        <x:f>IFERROR(INDEX(Employees!$A$2:$A$500,MATCH(A478,Employees!$B$2:$B$500,0)),"")</x:f>
      </x:c>
      <x:c r="C478" s="45"/>
      <x:c r="D478" s="43" t="str">
        <x:f>IFERROR(VLOOKUP(C478,Employees!$A$2:$B$500,2,FALSE),"")</x:f>
      </x:c>
      <x:c r="E478" s="42"/>
      <x:c r="F478" s="105"/>
      <x:c r="G478" s="106"/>
    </x:row>
    <x:row r="479" ht="22" customHeight="1">
      <x:c r="A479" s="92" t="str"/>
      <x:c r="B479" s="94" t="str">
        <x:f>IFERROR(INDEX(Employees!$A$2:$A$500,MATCH(A479,Employees!$B$2:$B$500,0)),"")</x:f>
      </x:c>
      <x:c r="C479" s="45"/>
      <x:c r="D479" s="43" t="str">
        <x:f>IFERROR(VLOOKUP(C479,Employees!$A$2:$B$500,2,FALSE),"")</x:f>
      </x:c>
      <x:c r="E479" s="42"/>
      <x:c r="F479" s="105"/>
      <x:c r="G479" s="106"/>
    </x:row>
    <x:row r="480" ht="22" customHeight="1">
      <x:c r="A480" s="92" t="str"/>
      <x:c r="B480" s="94" t="str">
        <x:f>IFERROR(INDEX(Employees!$A$2:$A$500,MATCH(A480,Employees!$B$2:$B$500,0)),"")</x:f>
      </x:c>
      <x:c r="C480" s="45"/>
      <x:c r="D480" s="43" t="str">
        <x:f>IFERROR(VLOOKUP(C480,Employees!$A$2:$B$500,2,FALSE),"")</x:f>
      </x:c>
      <x:c r="E480" s="42"/>
      <x:c r="F480" s="105"/>
      <x:c r="G480" s="106"/>
    </x:row>
    <x:row r="481" ht="22" customHeight="1">
      <x:c r="A481" s="92" t="str"/>
      <x:c r="B481" s="94" t="str">
        <x:f>IFERROR(INDEX(Employees!$A$2:$A$500,MATCH(A481,Employees!$B$2:$B$500,0)),"")</x:f>
      </x:c>
      <x:c r="C481" s="45"/>
      <x:c r="D481" s="43" t="str">
        <x:f>IFERROR(VLOOKUP(C481,Employees!$A$2:$B$500,2,FALSE),"")</x:f>
      </x:c>
      <x:c r="E481" s="42"/>
      <x:c r="F481" s="105"/>
      <x:c r="G481" s="106"/>
    </x:row>
    <x:row r="482" ht="22" customHeight="1">
      <x:c r="A482" s="92" t="str"/>
      <x:c r="B482" s="94" t="str">
        <x:f>IFERROR(INDEX(Employees!$A$2:$A$500,MATCH(A482,Employees!$B$2:$B$500,0)),"")</x:f>
      </x:c>
      <x:c r="C482" s="45"/>
      <x:c r="D482" s="43" t="str">
        <x:f>IFERROR(VLOOKUP(C482,Employees!$A$2:$B$500,2,FALSE),"")</x:f>
      </x:c>
      <x:c r="E482" s="42"/>
      <x:c r="F482" s="105"/>
      <x:c r="G482" s="106"/>
    </x:row>
    <x:row r="483" ht="22" customHeight="1">
      <x:c r="A483" s="92" t="str"/>
      <x:c r="B483" s="94" t="str">
        <x:f>IFERROR(INDEX(Employees!$A$2:$A$500,MATCH(A483,Employees!$B$2:$B$500,0)),"")</x:f>
      </x:c>
      <x:c r="C483" s="45"/>
      <x:c r="D483" s="43" t="str">
        <x:f>IFERROR(VLOOKUP(C483,Employees!$A$2:$B$500,2,FALSE),"")</x:f>
      </x:c>
      <x:c r="E483" s="42"/>
      <x:c r="F483" s="105"/>
      <x:c r="G483" s="106"/>
    </x:row>
    <x:row r="484" ht="22" customHeight="1">
      <x:c r="A484" s="92" t="str"/>
      <x:c r="B484" s="94" t="str">
        <x:f>IFERROR(INDEX(Employees!$A$2:$A$500,MATCH(A484,Employees!$B$2:$B$500,0)),"")</x:f>
      </x:c>
      <x:c r="C484" s="45"/>
      <x:c r="D484" s="43" t="str">
        <x:f>IFERROR(VLOOKUP(C484,Employees!$A$2:$B$500,2,FALSE),"")</x:f>
      </x:c>
      <x:c r="E484" s="42"/>
      <x:c r="F484" s="105"/>
      <x:c r="G484" s="106"/>
    </x:row>
    <x:row r="485" ht="22" customHeight="1">
      <x:c r="A485" s="92" t="str"/>
      <x:c r="B485" s="94" t="str">
        <x:f>IFERROR(INDEX(Employees!$A$2:$A$500,MATCH(A485,Employees!$B$2:$B$500,0)),"")</x:f>
      </x:c>
      <x:c r="C485" s="45"/>
      <x:c r="D485" s="43" t="str">
        <x:f>IFERROR(VLOOKUP(C485,Employees!$A$2:$B$500,2,FALSE),"")</x:f>
      </x:c>
      <x:c r="E485" s="42"/>
      <x:c r="F485" s="105"/>
      <x:c r="G485" s="106"/>
    </x:row>
    <x:row r="486" ht="22" customHeight="1">
      <x:c r="A486" s="92" t="str"/>
      <x:c r="B486" s="94" t="str">
        <x:f>IFERROR(INDEX(Employees!$A$2:$A$500,MATCH(A486,Employees!$B$2:$B$500,0)),"")</x:f>
      </x:c>
      <x:c r="C486" s="45"/>
      <x:c r="D486" s="43" t="str">
        <x:f>IFERROR(VLOOKUP(C486,Employees!$A$2:$B$500,2,FALSE),"")</x:f>
      </x:c>
      <x:c r="E486" s="42"/>
      <x:c r="F486" s="105"/>
      <x:c r="G486" s="106"/>
    </x:row>
    <x:row r="487" ht="22" customHeight="1">
      <x:c r="A487" s="92" t="str"/>
      <x:c r="B487" s="94" t="str">
        <x:f>IFERROR(INDEX(Employees!$A$2:$A$500,MATCH(A487,Employees!$B$2:$B$500,0)),"")</x:f>
      </x:c>
      <x:c r="C487" s="45"/>
      <x:c r="D487" s="43" t="str">
        <x:f>IFERROR(VLOOKUP(C487,Employees!$A$2:$B$500,2,FALSE),"")</x:f>
      </x:c>
      <x:c r="E487" s="42"/>
      <x:c r="F487" s="105"/>
      <x:c r="G487" s="106"/>
    </x:row>
    <x:row r="488" ht="22" customHeight="1">
      <x:c r="A488" s="92" t="str"/>
      <x:c r="B488" s="94" t="str">
        <x:f>IFERROR(INDEX(Employees!$A$2:$A$500,MATCH(A488,Employees!$B$2:$B$500,0)),"")</x:f>
      </x:c>
      <x:c r="C488" s="45"/>
      <x:c r="D488" s="43" t="str">
        <x:f>IFERROR(VLOOKUP(C488,Employees!$A$2:$B$500,2,FALSE),"")</x:f>
      </x:c>
      <x:c r="E488" s="42"/>
      <x:c r="F488" s="105"/>
      <x:c r="G488" s="106"/>
    </x:row>
    <x:row r="489" ht="22" customHeight="1">
      <x:c r="A489" s="92" t="str"/>
      <x:c r="B489" s="94" t="str">
        <x:f>IFERROR(INDEX(Employees!$A$2:$A$500,MATCH(A489,Employees!$B$2:$B$500,0)),"")</x:f>
      </x:c>
      <x:c r="C489" s="45"/>
      <x:c r="D489" s="43" t="str">
        <x:f>IFERROR(VLOOKUP(C489,Employees!$A$2:$B$500,2,FALSE),"")</x:f>
      </x:c>
      <x:c r="E489" s="42"/>
      <x:c r="F489" s="105"/>
      <x:c r="G489" s="106"/>
    </x:row>
    <x:row r="490" ht="22" customHeight="1">
      <x:c r="A490" s="92" t="str"/>
      <x:c r="B490" s="94" t="str">
        <x:f>IFERROR(INDEX(Employees!$A$2:$A$500,MATCH(A490,Employees!$B$2:$B$500,0)),"")</x:f>
      </x:c>
      <x:c r="C490" s="45"/>
      <x:c r="D490" s="43" t="str">
        <x:f>IFERROR(VLOOKUP(C490,Employees!$A$2:$B$500,2,FALSE),"")</x:f>
      </x:c>
      <x:c r="E490" s="42"/>
      <x:c r="F490" s="105"/>
      <x:c r="G490" s="106"/>
    </x:row>
    <x:row r="491" ht="22" customHeight="1">
      <x:c r="A491" s="92" t="str"/>
      <x:c r="B491" s="94" t="str">
        <x:f>IFERROR(INDEX(Employees!$A$2:$A$500,MATCH(A491,Employees!$B$2:$B$500,0)),"")</x:f>
      </x:c>
      <x:c r="C491" s="45"/>
      <x:c r="D491" s="43" t="str">
        <x:f>IFERROR(VLOOKUP(C491,Employees!$A$2:$B$500,2,FALSE),"")</x:f>
      </x:c>
      <x:c r="E491" s="42"/>
      <x:c r="F491" s="105"/>
      <x:c r="G491" s="106"/>
    </x:row>
    <x:row r="492" ht="22" customHeight="1">
      <x:c r="A492" s="92" t="str"/>
      <x:c r="B492" s="94" t="str">
        <x:f>IFERROR(INDEX(Employees!$A$2:$A$500,MATCH(A492,Employees!$B$2:$B$500,0)),"")</x:f>
      </x:c>
      <x:c r="C492" s="45"/>
      <x:c r="D492" s="43" t="str">
        <x:f>IFERROR(VLOOKUP(C492,Employees!$A$2:$B$500,2,FALSE),"")</x:f>
      </x:c>
      <x:c r="E492" s="42"/>
      <x:c r="F492" s="105"/>
      <x:c r="G492" s="106"/>
    </x:row>
    <x:row r="493" ht="22" customHeight="1">
      <x:c r="A493" s="92" t="str"/>
      <x:c r="B493" s="94" t="str">
        <x:f>IFERROR(INDEX(Employees!$A$2:$A$500,MATCH(A493,Employees!$B$2:$B$500,0)),"")</x:f>
      </x:c>
      <x:c r="C493" s="45"/>
      <x:c r="D493" s="43" t="str">
        <x:f>IFERROR(VLOOKUP(C493,Employees!$A$2:$B$500,2,FALSE),"")</x:f>
      </x:c>
      <x:c r="E493" s="42"/>
      <x:c r="F493" s="105"/>
      <x:c r="G493" s="106"/>
    </x:row>
    <x:row r="494" ht="22" customHeight="1">
      <x:c r="A494" s="92" t="str"/>
      <x:c r="B494" s="94" t="str">
        <x:f>IFERROR(INDEX(Employees!$A$2:$A$500,MATCH(A494,Employees!$B$2:$B$500,0)),"")</x:f>
      </x:c>
      <x:c r="C494" s="45"/>
      <x:c r="D494" s="43" t="str">
        <x:f>IFERROR(VLOOKUP(C494,Employees!$A$2:$B$500,2,FALSE),"")</x:f>
      </x:c>
      <x:c r="E494" s="42"/>
      <x:c r="F494" s="105"/>
      <x:c r="G494" s="106"/>
    </x:row>
    <x:row r="495" ht="22" customHeight="1">
      <x:c r="A495" s="92" t="str"/>
      <x:c r="B495" s="94" t="str">
        <x:f>IFERROR(INDEX(Employees!$A$2:$A$500,MATCH(A495,Employees!$B$2:$B$500,0)),"")</x:f>
      </x:c>
      <x:c r="C495" s="45"/>
      <x:c r="D495" s="43" t="str">
        <x:f>IFERROR(VLOOKUP(C495,Employees!$A$2:$B$500,2,FALSE),"")</x:f>
      </x:c>
      <x:c r="E495" s="42"/>
      <x:c r="F495" s="105"/>
      <x:c r="G495" s="106"/>
    </x:row>
    <x:row r="496" ht="22" customHeight="1">
      <x:c r="A496" s="92" t="str"/>
      <x:c r="B496" s="94" t="str">
        <x:f>IFERROR(INDEX(Employees!$A$2:$A$500,MATCH(A496,Employees!$B$2:$B$500,0)),"")</x:f>
      </x:c>
      <x:c r="C496" s="45"/>
      <x:c r="D496" s="43" t="str">
        <x:f>IFERROR(VLOOKUP(C496,Employees!$A$2:$B$500,2,FALSE),"")</x:f>
      </x:c>
      <x:c r="E496" s="42"/>
      <x:c r="F496" s="105"/>
      <x:c r="G496" s="106"/>
    </x:row>
    <x:row r="497" ht="22" customHeight="1">
      <x:c r="A497" s="92" t="str"/>
      <x:c r="B497" s="94" t="str">
        <x:f>IFERROR(INDEX(Employees!$A$2:$A$500,MATCH(A497,Employees!$B$2:$B$500,0)),"")</x:f>
      </x:c>
      <x:c r="C497" s="45"/>
      <x:c r="D497" s="43" t="str">
        <x:f>IFERROR(VLOOKUP(C497,Employees!$A$2:$B$500,2,FALSE),"")</x:f>
      </x:c>
      <x:c r="E497" s="42"/>
      <x:c r="F497" s="105"/>
      <x:c r="G497" s="106"/>
    </x:row>
    <x:row r="498" ht="22" customHeight="1">
      <x:c r="A498" s="92" t="str"/>
      <x:c r="B498" s="94" t="str">
        <x:f>IFERROR(INDEX(Employees!$A$2:$A$500,MATCH(A498,Employees!$B$2:$B$500,0)),"")</x:f>
      </x:c>
      <x:c r="C498" s="45"/>
      <x:c r="D498" s="43" t="str">
        <x:f>IFERROR(VLOOKUP(C498,Employees!$A$2:$B$500,2,FALSE),"")</x:f>
      </x:c>
      <x:c r="E498" s="42"/>
      <x:c r="F498" s="105"/>
      <x:c r="G498" s="106"/>
    </x:row>
    <x:row r="499" ht="22" customHeight="1">
      <x:c r="A499" s="92" t="str"/>
      <x:c r="B499" s="94" t="str">
        <x:f>IFERROR(INDEX(Employees!$A$2:$A$500,MATCH(A499,Employees!$B$2:$B$500,0)),"")</x:f>
      </x:c>
      <x:c r="C499" s="45"/>
      <x:c r="D499" s="43" t="str">
        <x:f>IFERROR(VLOOKUP(C499,Employees!$A$2:$B$500,2,FALSE),"")</x:f>
      </x:c>
      <x:c r="E499" s="42"/>
      <x:c r="F499" s="105"/>
      <x:c r="G499" s="106"/>
    </x:row>
    <x:row r="500" ht="22" customHeight="1">
      <x:c r="A500" s="92" t="str"/>
      <x:c r="B500" s="94" t="str">
        <x:f>IFERROR(INDEX(Employees!$A$2:$A$500,MATCH(A500,Employees!$B$2:$B$500,0)),"")</x:f>
      </x:c>
      <x:c r="C500" s="45"/>
      <x:c r="D500" s="43" t="str">
        <x:f>IFERROR(VLOOKUP(C500,Employees!$A$2:$B$500,2,FALSE),"")</x:f>
      </x:c>
      <x:c r="E500" s="42"/>
      <x:c r="F500" s="105"/>
      <x:c r="G500" s="106"/>
    </x:row>
  </x:sheetData>
  <x:conditionalFormatting sqref="B2:B500">
    <x:cfRule type="expression" dxfId="5" priority="1">
      <x:formula>AND(B2&lt;&gt;"",COUNTIF($B$2:$B$500,B2)&gt;1)</x:formula>
    </x:cfRule>
  </x:conditionalFormatting>
  <x:dataValidations count="3">
    <x:dataValidation type="list" sqref="A2:A500">
      <x:formula1>INDIRECT("Employees!$G$2:$G$500")</x:formula1>
    </x:dataValidation>
    <x:dataValidation type="list" sqref="C2:C500">
      <x:formula1>INDIRECT("Employees!$E$2:$E$500")</x:formula1>
    </x:dataValidation>
    <x:dataValidation type="list" sqref="E2:E500">
      <x:formula1>INDIRECT("'Role Settings'!$A$2:$A$100")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637838402a1461b"/>
  </x:tableParts>
</x:worksheet>
</file>

<file path=xl/worksheets/sheet5.xml><?xml version="1.0" encoding="utf-8"?>
<x:worksheet xmlns:x="http://schemas.openxmlformats.org/spreadsheetml/2006/main">
  <x:sheetPr>
    <x:tabColor rgb="FFBF900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2" hidden="0" customWidth="1"/>
    <x:col min="3" max="3" width="49" hidden="0" customWidth="1"/>
  </x:cols>
  <x:sheetData>
    <x:row r="1" ht="26" customHeight="1">
      <x:c r="A1" s="56" t="str">
        <x:v>Role Type</x:v>
      </x:c>
      <x:c r="B1" s="57" t="str">
        <x:v>Slide Color</x:v>
      </x:c>
      <x:c r="C1" s="58" t="str">
        <x:v>Instructions</x:v>
      </x:c>
    </x:row>
    <x:row r="2" ht="24" customHeight="1">
      <x:c r="A2" s="42" t="str">
        <x:v>Leadership</x:v>
      </x:c>
      <x:c r="B2" s="64" t="str"/>
      <x:c r="C2" s="43" t="str">
        <x:v>Change the fill color in column B</x:v>
      </x:c>
    </x:row>
    <x:row r="3" ht="24" customHeight="1">
      <x:c r="A3" s="42" t="str">
        <x:v>Operations</x:v>
      </x:c>
      <x:c r="B3" s="65" t="str"/>
      <x:c r="C3" s="43" t="str">
        <x:v>Change the fill color in column B</x:v>
      </x:c>
    </x:row>
    <x:row r="4" ht="24" customHeight="1">
      <x:c r="A4" s="42" t="str">
        <x:v>Technical</x:v>
      </x:c>
      <x:c r="B4" s="66" t="str"/>
      <x:c r="C4" s="43" t="str">
        <x:v>Change the fill color in column B</x:v>
      </x:c>
    </x:row>
    <x:row r="5" ht="24" customHeight="1">
      <x:c r="A5" s="42" t="str">
        <x:v>Support</x:v>
      </x:c>
      <x:c r="B5" s="67" t="str"/>
      <x:c r="C5" s="43" t="str">
        <x:v>Change the fill color in column B</x:v>
      </x:c>
    </x:row>
    <x:row r="6" ht="24" customHeight="1">
      <x:c r="A6" s="42" t="str">
        <x:v>Unspecified</x:v>
      </x:c>
      <x:c r="B6" s="68" t="str"/>
      <x:c r="C6" s="43" t="str">
        <x:v>Used when no more specific role applies</x:v>
      </x:c>
    </x:row>
    <x:row r="7" ht="24" customHeight="1">
      <x:c r="A7" s="42"/>
      <x:c r="B7" s="69"/>
      <x:c r="C7" s="43"/>
    </x:row>
    <x:row r="8" ht="24" customHeight="1">
      <x:c r="A8" s="42"/>
      <x:c r="B8" s="69"/>
      <x:c r="C8" s="43"/>
    </x:row>
    <x:row r="9" ht="24" customHeight="1">
      <x:c r="A9" s="42"/>
      <x:c r="B9" s="69"/>
      <x:c r="C9" s="43"/>
    </x:row>
    <x:row r="10" ht="24" customHeight="1">
      <x:c r="A10" s="42"/>
      <x:c r="B10" s="69"/>
      <x:c r="C10" s="43"/>
    </x:row>
    <x:row r="11" ht="24" customHeight="1">
      <x:c r="A11" s="42"/>
      <x:c r="B11" s="69"/>
      <x:c r="C11" s="43"/>
    </x:row>
    <x:row r="12" ht="24" customHeight="1">
      <x:c r="A12" s="42"/>
      <x:c r="B12" s="69"/>
      <x:c r="C12" s="43"/>
    </x:row>
    <x:row r="13" ht="24" customHeight="1">
      <x:c r="A13" s="42"/>
      <x:c r="B13" s="69"/>
      <x:c r="C13" s="43"/>
    </x:row>
    <x:row r="14" ht="24" customHeight="1">
      <x:c r="A14" s="42"/>
      <x:c r="B14" s="69"/>
      <x:c r="C14" s="43"/>
    </x:row>
    <x:row r="15" ht="24" customHeight="1">
      <x:c r="A15" s="42"/>
      <x:c r="B15" s="69"/>
      <x:c r="C15" s="43"/>
    </x:row>
    <x:row r="16" ht="24" customHeight="1">
      <x:c r="A16" s="42"/>
      <x:c r="B16" s="69"/>
      <x:c r="C16" s="43"/>
    </x:row>
    <x:row r="17" ht="24" customHeight="1">
      <x:c r="A17" s="42"/>
      <x:c r="B17" s="69"/>
      <x:c r="C17" s="43"/>
    </x:row>
    <x:row r="18" ht="24" customHeight="1">
      <x:c r="A18" s="42"/>
      <x:c r="B18" s="69"/>
      <x:c r="C18" s="43"/>
    </x:row>
    <x:row r="19" ht="24" customHeight="1">
      <x:c r="A19" s="42"/>
      <x:c r="B19" s="69"/>
      <x:c r="C19" s="43"/>
    </x:row>
    <x:row r="20" ht="24" customHeight="1">
      <x:c r="A20" s="42"/>
      <x:c r="B20" s="69"/>
      <x:c r="C20" s="43"/>
    </x:row>
    <x:row r="21" ht="24" customHeight="1">
      <x:c r="A21" s="42"/>
      <x:c r="B21" s="69"/>
      <x:c r="C21" s="43"/>
    </x:row>
    <x:row r="22" ht="24" customHeight="1">
      <x:c r="A22" s="42"/>
      <x:c r="B22" s="69"/>
      <x:c r="C22" s="43"/>
    </x:row>
    <x:row r="23" ht="24" customHeight="1">
      <x:c r="A23" s="42"/>
      <x:c r="B23" s="69"/>
      <x:c r="C23" s="43"/>
    </x:row>
    <x:row r="24" ht="24" customHeight="1">
      <x:c r="A24" s="42"/>
      <x:c r="B24" s="69"/>
      <x:c r="C24" s="43"/>
    </x:row>
    <x:row r="25" ht="24" customHeight="1">
      <x:c r="A25" s="42"/>
      <x:c r="B25" s="69"/>
      <x:c r="C25" s="43"/>
    </x:row>
    <x:row r="26" ht="24" customHeight="1">
      <x:c r="A26" s="42"/>
      <x:c r="B26" s="69"/>
      <x:c r="C26" s="43"/>
    </x:row>
    <x:row r="27" ht="24" customHeight="1">
      <x:c r="A27" s="42"/>
      <x:c r="B27" s="69"/>
      <x:c r="C27" s="43"/>
    </x:row>
    <x:row r="28" ht="24" customHeight="1">
      <x:c r="A28" s="42"/>
      <x:c r="B28" s="69"/>
      <x:c r="C28" s="43"/>
    </x:row>
    <x:row r="29" ht="24" customHeight="1">
      <x:c r="A29" s="42"/>
      <x:c r="B29" s="69"/>
      <x:c r="C29" s="43"/>
    </x:row>
    <x:row r="30" ht="24" customHeight="1">
      <x:c r="A30" s="42"/>
      <x:c r="B30" s="69"/>
      <x:c r="C30" s="43"/>
    </x:row>
    <x:row r="31" ht="24" customHeight="1">
      <x:c r="A31" s="42"/>
      <x:c r="B31" s="69"/>
      <x:c r="C31" s="43"/>
    </x:row>
    <x:row r="32" ht="24" customHeight="1">
      <x:c r="A32" s="42"/>
      <x:c r="B32" s="69"/>
      <x:c r="C32" s="43"/>
    </x:row>
    <x:row r="33" ht="24" customHeight="1">
      <x:c r="A33" s="42"/>
      <x:c r="B33" s="69"/>
      <x:c r="C33" s="43"/>
    </x:row>
    <x:row r="34" ht="24" customHeight="1">
      <x:c r="A34" s="42"/>
      <x:c r="B34" s="69"/>
      <x:c r="C34" s="43"/>
    </x:row>
    <x:row r="35" ht="24" customHeight="1">
      <x:c r="A35" s="42"/>
      <x:c r="B35" s="69"/>
      <x:c r="C35" s="43"/>
    </x:row>
    <x:row r="36" ht="24" customHeight="1">
      <x:c r="A36" s="42"/>
      <x:c r="B36" s="69"/>
      <x:c r="C36" s="43"/>
    </x:row>
    <x:row r="37" ht="24" customHeight="1">
      <x:c r="A37" s="42"/>
      <x:c r="B37" s="69"/>
      <x:c r="C37" s="43"/>
    </x:row>
    <x:row r="38" ht="24" customHeight="1">
      <x:c r="A38" s="42"/>
      <x:c r="B38" s="69"/>
      <x:c r="C38" s="43"/>
    </x:row>
    <x:row r="39" ht="24" customHeight="1">
      <x:c r="A39" s="42"/>
      <x:c r="B39" s="69"/>
      <x:c r="C39" s="43"/>
    </x:row>
    <x:row r="40" ht="24" customHeight="1">
      <x:c r="A40" s="42"/>
      <x:c r="B40" s="69"/>
      <x:c r="C40" s="43"/>
    </x:row>
    <x:row r="41" ht="24" customHeight="1">
      <x:c r="A41" s="42"/>
      <x:c r="B41" s="69"/>
      <x:c r="C41" s="43"/>
    </x:row>
    <x:row r="42" ht="24" customHeight="1">
      <x:c r="A42" s="42"/>
      <x:c r="B42" s="69"/>
      <x:c r="C42" s="43"/>
    </x:row>
    <x:row r="43" ht="24" customHeight="1">
      <x:c r="A43" s="42"/>
      <x:c r="B43" s="69"/>
      <x:c r="C43" s="43"/>
    </x:row>
    <x:row r="44" ht="24" customHeight="1">
      <x:c r="A44" s="42"/>
      <x:c r="B44" s="69"/>
      <x:c r="C44" s="43"/>
    </x:row>
    <x:row r="45" ht="24" customHeight="1">
      <x:c r="A45" s="42"/>
      <x:c r="B45" s="69"/>
      <x:c r="C45" s="43"/>
    </x:row>
    <x:row r="46" ht="24" customHeight="1">
      <x:c r="A46" s="42"/>
      <x:c r="B46" s="69"/>
      <x:c r="C46" s="43"/>
    </x:row>
    <x:row r="47" ht="24" customHeight="1">
      <x:c r="A47" s="42"/>
      <x:c r="B47" s="69"/>
      <x:c r="C47" s="43"/>
    </x:row>
    <x:row r="48" ht="24" customHeight="1">
      <x:c r="A48" s="42"/>
      <x:c r="B48" s="69"/>
      <x:c r="C48" s="43"/>
    </x:row>
    <x:row r="49" ht="24" customHeight="1">
      <x:c r="A49" s="42"/>
      <x:c r="B49" s="69"/>
      <x:c r="C49" s="43"/>
    </x:row>
    <x:row r="50" ht="24" customHeight="1">
      <x:c r="A50" s="42"/>
      <x:c r="B50" s="69"/>
      <x:c r="C50" s="43"/>
    </x:row>
    <x:row r="51" ht="24" customHeight="1">
      <x:c r="A51" s="42"/>
      <x:c r="B51" s="69"/>
      <x:c r="C51" s="43"/>
    </x:row>
    <x:row r="52" ht="24" customHeight="1">
      <x:c r="A52" s="42"/>
      <x:c r="B52" s="69"/>
      <x:c r="C52" s="43"/>
    </x:row>
    <x:row r="53" ht="24" customHeight="1">
      <x:c r="A53" s="42"/>
      <x:c r="B53" s="69"/>
      <x:c r="C53" s="43"/>
    </x:row>
    <x:row r="54" ht="24" customHeight="1">
      <x:c r="A54" s="42"/>
      <x:c r="B54" s="69"/>
      <x:c r="C54" s="43"/>
    </x:row>
    <x:row r="55" ht="24" customHeight="1">
      <x:c r="A55" s="42"/>
      <x:c r="B55" s="69"/>
      <x:c r="C55" s="43"/>
    </x:row>
    <x:row r="56" ht="24" customHeight="1">
      <x:c r="A56" s="42"/>
      <x:c r="B56" s="69"/>
      <x:c r="C56" s="43"/>
    </x:row>
    <x:row r="57" ht="24" customHeight="1">
      <x:c r="A57" s="42"/>
      <x:c r="B57" s="69"/>
      <x:c r="C57" s="43"/>
    </x:row>
    <x:row r="58" ht="24" customHeight="1">
      <x:c r="A58" s="42"/>
      <x:c r="B58" s="69"/>
      <x:c r="C58" s="43"/>
    </x:row>
    <x:row r="59" ht="24" customHeight="1">
      <x:c r="A59" s="42"/>
      <x:c r="B59" s="69"/>
      <x:c r="C59" s="43"/>
    </x:row>
    <x:row r="60" ht="24" customHeight="1">
      <x:c r="A60" s="42"/>
      <x:c r="B60" s="69"/>
      <x:c r="C60" s="43"/>
    </x:row>
    <x:row r="61" ht="24" customHeight="1">
      <x:c r="A61" s="42"/>
      <x:c r="B61" s="69"/>
      <x:c r="C61" s="43"/>
    </x:row>
    <x:row r="62" ht="24" customHeight="1">
      <x:c r="A62" s="42"/>
      <x:c r="B62" s="69"/>
      <x:c r="C62" s="43"/>
    </x:row>
    <x:row r="63" ht="24" customHeight="1">
      <x:c r="A63" s="42"/>
      <x:c r="B63" s="69"/>
      <x:c r="C63" s="43"/>
    </x:row>
    <x:row r="64" ht="24" customHeight="1">
      <x:c r="A64" s="42"/>
      <x:c r="B64" s="69"/>
      <x:c r="C64" s="43"/>
    </x:row>
    <x:row r="65" ht="24" customHeight="1">
      <x:c r="A65" s="42"/>
      <x:c r="B65" s="69"/>
      <x:c r="C65" s="43"/>
    </x:row>
    <x:row r="66" ht="24" customHeight="1">
      <x:c r="A66" s="42"/>
      <x:c r="B66" s="69"/>
      <x:c r="C66" s="43"/>
    </x:row>
    <x:row r="67" ht="24" customHeight="1">
      <x:c r="A67" s="42"/>
      <x:c r="B67" s="69"/>
      <x:c r="C67" s="43"/>
    </x:row>
    <x:row r="68" ht="24" customHeight="1">
      <x:c r="A68" s="42"/>
      <x:c r="B68" s="69"/>
      <x:c r="C68" s="43"/>
    </x:row>
    <x:row r="69" ht="24" customHeight="1">
      <x:c r="A69" s="42"/>
      <x:c r="B69" s="69"/>
      <x:c r="C69" s="43"/>
    </x:row>
    <x:row r="70" ht="24" customHeight="1">
      <x:c r="A70" s="42"/>
      <x:c r="B70" s="69"/>
      <x:c r="C70" s="43"/>
    </x:row>
    <x:row r="71" ht="24" customHeight="1">
      <x:c r="A71" s="42"/>
      <x:c r="B71" s="69"/>
      <x:c r="C71" s="43"/>
    </x:row>
    <x:row r="72" ht="24" customHeight="1">
      <x:c r="A72" s="42"/>
      <x:c r="B72" s="69"/>
      <x:c r="C72" s="43"/>
    </x:row>
    <x:row r="73" ht="24" customHeight="1">
      <x:c r="A73" s="42"/>
      <x:c r="B73" s="69"/>
      <x:c r="C73" s="43"/>
    </x:row>
    <x:row r="74" ht="24" customHeight="1">
      <x:c r="A74" s="42"/>
      <x:c r="B74" s="69"/>
      <x:c r="C74" s="43"/>
    </x:row>
    <x:row r="75" ht="24" customHeight="1">
      <x:c r="A75" s="42"/>
      <x:c r="B75" s="69"/>
      <x:c r="C75" s="43"/>
    </x:row>
    <x:row r="76" ht="24" customHeight="1">
      <x:c r="A76" s="42"/>
      <x:c r="B76" s="69"/>
      <x:c r="C76" s="43"/>
    </x:row>
    <x:row r="77" ht="24" customHeight="1">
      <x:c r="A77" s="42"/>
      <x:c r="B77" s="69"/>
      <x:c r="C77" s="43"/>
    </x:row>
    <x:row r="78" ht="24" customHeight="1">
      <x:c r="A78" s="42"/>
      <x:c r="B78" s="69"/>
      <x:c r="C78" s="43"/>
    </x:row>
    <x:row r="79" ht="24" customHeight="1">
      <x:c r="A79" s="42"/>
      <x:c r="B79" s="69"/>
      <x:c r="C79" s="43"/>
    </x:row>
    <x:row r="80" ht="24" customHeight="1">
      <x:c r="A80" s="42"/>
      <x:c r="B80" s="69"/>
      <x:c r="C80" s="43"/>
    </x:row>
    <x:row r="81" ht="24" customHeight="1">
      <x:c r="A81" s="42"/>
      <x:c r="B81" s="69"/>
      <x:c r="C81" s="43"/>
    </x:row>
    <x:row r="82" ht="24" customHeight="1">
      <x:c r="A82" s="42"/>
      <x:c r="B82" s="69"/>
      <x:c r="C82" s="43"/>
    </x:row>
    <x:row r="83" ht="24" customHeight="1">
      <x:c r="A83" s="42"/>
      <x:c r="B83" s="69"/>
      <x:c r="C83" s="43"/>
    </x:row>
    <x:row r="84" ht="24" customHeight="1">
      <x:c r="A84" s="42"/>
      <x:c r="B84" s="69"/>
      <x:c r="C84" s="43"/>
    </x:row>
    <x:row r="85" ht="24" customHeight="1">
      <x:c r="A85" s="42"/>
      <x:c r="B85" s="69"/>
      <x:c r="C85" s="43"/>
    </x:row>
    <x:row r="86" ht="24" customHeight="1">
      <x:c r="A86" s="42"/>
      <x:c r="B86" s="69"/>
      <x:c r="C86" s="43"/>
    </x:row>
    <x:row r="87" ht="24" customHeight="1">
      <x:c r="A87" s="42"/>
      <x:c r="B87" s="69"/>
      <x:c r="C87" s="43"/>
    </x:row>
    <x:row r="88" ht="24" customHeight="1">
      <x:c r="A88" s="42"/>
      <x:c r="B88" s="69"/>
      <x:c r="C88" s="43"/>
    </x:row>
    <x:row r="89" ht="24" customHeight="1">
      <x:c r="A89" s="42"/>
      <x:c r="B89" s="69"/>
      <x:c r="C89" s="43"/>
    </x:row>
    <x:row r="90" ht="24" customHeight="1">
      <x:c r="A90" s="42"/>
      <x:c r="B90" s="69"/>
      <x:c r="C90" s="43"/>
    </x:row>
    <x:row r="91" ht="24" customHeight="1">
      <x:c r="A91" s="42"/>
      <x:c r="B91" s="69"/>
      <x:c r="C91" s="43"/>
    </x:row>
    <x:row r="92" ht="24" customHeight="1">
      <x:c r="A92" s="42"/>
      <x:c r="B92" s="69"/>
      <x:c r="C92" s="43"/>
    </x:row>
    <x:row r="93" ht="24" customHeight="1">
      <x:c r="A93" s="42"/>
      <x:c r="B93" s="69"/>
      <x:c r="C93" s="43"/>
    </x:row>
    <x:row r="94" ht="24" customHeight="1">
      <x:c r="A94" s="42"/>
      <x:c r="B94" s="69"/>
      <x:c r="C94" s="43"/>
    </x:row>
    <x:row r="95" ht="24" customHeight="1">
      <x:c r="A95" s="42"/>
      <x:c r="B95" s="69"/>
      <x:c r="C95" s="43"/>
    </x:row>
    <x:row r="96" ht="24" customHeight="1">
      <x:c r="A96" s="42"/>
      <x:c r="B96" s="69"/>
      <x:c r="C96" s="43"/>
    </x:row>
    <x:row r="97" ht="24" customHeight="1">
      <x:c r="A97" s="42"/>
      <x:c r="B97" s="69"/>
      <x:c r="C97" s="43"/>
    </x:row>
    <x:row r="98" ht="24" customHeight="1">
      <x:c r="A98" s="42"/>
      <x:c r="B98" s="69"/>
      <x:c r="C98" s="43"/>
    </x:row>
    <x:row r="99" ht="24" customHeight="1">
      <x:c r="A99" s="42"/>
      <x:c r="B99" s="69"/>
      <x:c r="C99" s="43"/>
    </x:row>
    <x:row r="100" ht="24" customHeight="1">
      <x:c r="A100" s="42"/>
      <x:c r="B100" s="69"/>
      <x:c r="C100" s="43"/>
    </x:row>
  </x:sheetData>
  <x:pageMargins left="0.7" right="0.7" top="0.75" bottom="0.75" header="0.3" footer="0.3"/>
  <x:tableParts count="1">
    <x:tablePart xmlns:r="http://schemas.openxmlformats.org/officeDocument/2006/relationships" r:id="R5b8ccf4de74d43f9"/>
  </x:tableParts>
</x:worksheet>
</file>